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Passenger Dashboard" sheetId="2" state="visible" r:id="rId2"/>
    <sheet xmlns:r="http://schemas.openxmlformats.org/officeDocument/2006/relationships" name="Flight Operations Dashboard" sheetId="3" state="visible" r:id="rId3"/>
    <sheet xmlns:r="http://schemas.openxmlformats.org/officeDocument/2006/relationships" name="Route Performance Dashboard" sheetId="4" state="visible" r:id="rId4"/>
    <sheet xmlns:r="http://schemas.openxmlformats.org/officeDocument/2006/relationships" name="Airport &amp; Cancellation Dashboard" sheetId="5" state="visible" r:id="rId5"/>
    <sheet xmlns:r="http://schemas.openxmlformats.org/officeDocument/2006/relationships" name="Flight Data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Passenger Data" sheetId="8" state="visible" r:id="rId8"/>
    <sheet xmlns:r="http://schemas.openxmlformats.org/officeDocument/2006/relationships" name="Flight Details" sheetId="9" state="visible" r:id="rId9"/>
    <sheet xmlns:r="http://schemas.openxmlformats.org/officeDocument/2006/relationships" name="Airport Data" sheetId="10" state="visible" r:id="rId10"/>
    <sheet xmlns:r="http://schemas.openxmlformats.org/officeDocument/2006/relationships" name="Cancellations" sheetId="11" state="visible" r:id="rId11"/>
  </sheets>
  <definedNames>
    <definedName name="_xlnm._FilterDatabase" localSheetId="5" hidden="1">'Flight Data'!$A$1:$D$16</definedName>
    <definedName name="_xlnm.Print_Area" localSheetId="6">'Dashboard'!$A$1:$M$42</definedName>
    <definedName name="_xlnm._FilterDatabase" localSheetId="7" hidden="1">'Passenger Data'!$A$1:$H$15</definedName>
    <definedName name="_xlnm._FilterDatabase" localSheetId="8" hidden="1">'Flight Details'!$A$1:$M$16</definedName>
    <definedName name="_xlnm._FilterDatabase" localSheetId="9" hidden="1">'Airport Data'!$A$1:$E$7</definedName>
    <definedName name="_xlnm._FilterDatabase" localSheetId="10" hidden="1">'Cancellations'!$A$1:$C$3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&quot; yrs&quot;"/>
    <numFmt numFmtId="166" formatCode="₹#,##0"/>
    <numFmt numFmtId="167" formatCode="0.0&quot; min&quot;"/>
    <numFmt numFmtId="168" formatCode="0&quot; min&quot;"/>
  </numFmts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22"/>
    </font>
    <font>
      <b val="1"/>
      <color rgb="0017365D"/>
      <sz val="12"/>
    </font>
    <font>
      <b val="1"/>
      <color rgb="0017365D"/>
      <sz val="11"/>
    </font>
    <font>
      <b val="1"/>
      <color rgb="000B5CAD"/>
      <sz val="22"/>
    </font>
    <font>
      <b val="1"/>
      <color rgb="0016A765"/>
      <sz val="22"/>
    </font>
    <font>
      <b val="1"/>
      <color rgb="007A2E8E"/>
      <sz val="22"/>
    </font>
    <font>
      <b val="1"/>
      <color rgb="00FFFFFF"/>
    </font>
    <font>
      <b val="1"/>
      <color rgb="004B138F"/>
      <sz val="20"/>
    </font>
    <font>
      <b val="1"/>
      <color rgb="00FFFFFF"/>
      <sz val="10"/>
    </font>
    <font>
      <color rgb="00FFFFFF"/>
    </font>
    <font>
      <b val="1"/>
      <color rgb="004B138F"/>
      <sz val="13"/>
    </font>
    <font>
      <color rgb="00222222"/>
      <sz val="11"/>
    </font>
    <font>
      <i val="1"/>
      <color rgb="00666666"/>
      <sz val="9"/>
    </font>
    <font>
      <name val="Calibri"/>
      <color rgb="00222222"/>
      <sz val="11"/>
    </font>
    <font>
      <i val="1"/>
      <color rgb="00666666"/>
    </font>
  </fonts>
  <fills count="10">
    <fill>
      <patternFill/>
    </fill>
    <fill>
      <patternFill patternType="gray125"/>
    </fill>
    <fill>
      <patternFill patternType="solid">
        <fgColor rgb="000B5CAD"/>
      </patternFill>
    </fill>
    <fill>
      <patternFill patternType="solid">
        <fgColor rgb="0008A8C7"/>
      </patternFill>
    </fill>
    <fill>
      <patternFill patternType="solid">
        <fgColor rgb="00FFFFFF"/>
      </patternFill>
    </fill>
    <fill>
      <patternFill patternType="solid">
        <fgColor rgb="00EAF4FB"/>
      </patternFill>
    </fill>
    <fill>
      <patternFill patternType="solid">
        <fgColor rgb="004B138F"/>
      </patternFill>
    </fill>
    <fill>
      <patternFill patternType="solid">
        <fgColor rgb="00F2EFF8"/>
      </patternFill>
    </fill>
    <fill>
      <patternFill patternType="solid">
        <fgColor rgb="00F8F8FA"/>
      </patternFill>
    </fill>
    <fill>
      <patternFill patternType="solid">
        <fgColor rgb="00F3EFF9"/>
      </patternFill>
    </fill>
  </fills>
  <borders count="73">
    <border>
      <left/>
      <right/>
      <top/>
      <bottom/>
      <diagonal/>
    </border>
    <border>
      <bottom style="thin">
        <color rgb="00D9E2F3"/>
      </bottom>
    </border>
    <border>
      <left style="medium">
        <color rgb="000B5CAD"/>
      </left>
      <right style="medium">
        <color rgb="000B5CAD"/>
      </right>
      <top style="medium">
        <color rgb="000B5CAD"/>
      </top>
      <bottom style="medium">
        <color rgb="000B5CAD"/>
      </bottom>
    </border>
    <border>
      <left style="medium">
        <color rgb="0016A765"/>
      </left>
      <right style="medium">
        <color rgb="0016A765"/>
      </right>
      <top style="medium">
        <color rgb="0016A765"/>
      </top>
      <bottom style="medium">
        <color rgb="0016A765"/>
      </bottom>
    </border>
    <border>
      <left style="medium">
        <color rgb="007A2E8E"/>
      </left>
      <right style="medium">
        <color rgb="007A2E8E"/>
      </right>
      <top style="medium">
        <color rgb="007A2E8E"/>
      </top>
      <bottom style="medium">
        <color rgb="007A2E8E"/>
      </bottom>
    </border>
    <border>
      <left/>
      <right/>
      <top style="medium">
        <color rgb="000B5CAD"/>
      </top>
      <bottom/>
      <diagonal/>
    </border>
    <border>
      <left/>
      <right style="medium">
        <color rgb="000B5CAD"/>
      </right>
      <top style="medium">
        <color rgb="000B5CAD"/>
      </top>
      <bottom/>
      <diagonal/>
    </border>
    <border>
      <left/>
      <right/>
      <top style="medium">
        <color rgb="000B5CAD"/>
      </top>
      <bottom style="medium">
        <color rgb="000B5CAD"/>
      </bottom>
      <diagonal/>
    </border>
    <border>
      <left/>
      <right style="medium">
        <color rgb="000B5CAD"/>
      </right>
      <top style="medium">
        <color rgb="000B5CAD"/>
      </top>
      <bottom style="medium">
        <color rgb="000B5CAD"/>
      </bottom>
      <diagonal/>
    </border>
    <border>
      <left/>
      <right/>
      <top style="medium">
        <color rgb="0016A765"/>
      </top>
      <bottom/>
      <diagonal/>
    </border>
    <border>
      <left/>
      <right style="medium">
        <color rgb="0016A765"/>
      </right>
      <top style="medium">
        <color rgb="0016A765"/>
      </top>
      <bottom/>
      <diagonal/>
    </border>
    <border>
      <left/>
      <right/>
      <top style="medium">
        <color rgb="0016A765"/>
      </top>
      <bottom style="medium">
        <color rgb="0016A765"/>
      </bottom>
      <diagonal/>
    </border>
    <border>
      <left/>
      <right style="medium">
        <color rgb="0016A765"/>
      </right>
      <top style="medium">
        <color rgb="0016A765"/>
      </top>
      <bottom style="medium">
        <color rgb="0016A765"/>
      </bottom>
      <diagonal/>
    </border>
    <border>
      <left/>
      <right/>
      <top style="medium">
        <color rgb="007A2E8E"/>
      </top>
      <bottom/>
      <diagonal/>
    </border>
    <border>
      <left/>
      <right style="medium">
        <color rgb="007A2E8E"/>
      </right>
      <top style="medium">
        <color rgb="007A2E8E"/>
      </top>
      <bottom/>
      <diagonal/>
    </border>
    <border>
      <left/>
      <right/>
      <top style="medium">
        <color rgb="007A2E8E"/>
      </top>
      <bottom style="medium">
        <color rgb="007A2E8E"/>
      </bottom>
      <diagonal/>
    </border>
    <border>
      <left/>
      <right style="medium">
        <color rgb="007A2E8E"/>
      </right>
      <top style="medium">
        <color rgb="007A2E8E"/>
      </top>
      <bottom style="medium">
        <color rgb="007A2E8E"/>
      </bottom>
      <diagonal/>
    </border>
    <border>
      <left style="medium">
        <color rgb="000B5CAD"/>
      </left>
      <right/>
      <top/>
      <bottom/>
      <diagonal/>
    </border>
    <border>
      <left/>
      <right style="medium">
        <color rgb="000B5CAD"/>
      </right>
      <top/>
      <bottom/>
      <diagonal/>
    </border>
    <border>
      <left style="medium">
        <color rgb="000B5CAD"/>
      </left>
      <right/>
      <top/>
      <bottom style="medium">
        <color rgb="000B5CAD"/>
      </bottom>
      <diagonal/>
    </border>
    <border>
      <left/>
      <right/>
      <top/>
      <bottom style="medium">
        <color rgb="000B5CAD"/>
      </bottom>
      <diagonal/>
    </border>
    <border>
      <left/>
      <right style="medium">
        <color rgb="000B5CAD"/>
      </right>
      <top/>
      <bottom style="medium">
        <color rgb="000B5CAD"/>
      </bottom>
      <diagonal/>
    </border>
    <border>
      <left style="medium">
        <color rgb="0016A765"/>
      </left>
      <right/>
      <top/>
      <bottom/>
      <diagonal/>
    </border>
    <border>
      <left/>
      <right style="medium">
        <color rgb="0016A765"/>
      </right>
      <top/>
      <bottom/>
      <diagonal/>
    </border>
    <border>
      <left style="medium">
        <color rgb="0016A765"/>
      </left>
      <right/>
      <top/>
      <bottom style="medium">
        <color rgb="0016A765"/>
      </bottom>
      <diagonal/>
    </border>
    <border>
      <left/>
      <right/>
      <top/>
      <bottom style="medium">
        <color rgb="0016A765"/>
      </bottom>
      <diagonal/>
    </border>
    <border>
      <left/>
      <right style="medium">
        <color rgb="0016A765"/>
      </right>
      <top/>
      <bottom style="medium">
        <color rgb="0016A765"/>
      </bottom>
      <diagonal/>
    </border>
    <border>
      <left style="medium">
        <color rgb="007A2E8E"/>
      </left>
      <right/>
      <top/>
      <bottom/>
      <diagonal/>
    </border>
    <border>
      <left/>
      <right style="medium">
        <color rgb="007A2E8E"/>
      </right>
      <top/>
      <bottom/>
      <diagonal/>
    </border>
    <border>
      <left style="medium">
        <color rgb="007A2E8E"/>
      </left>
      <right/>
      <top/>
      <bottom style="medium">
        <color rgb="007A2E8E"/>
      </bottom>
      <diagonal/>
    </border>
    <border>
      <left/>
      <right/>
      <top/>
      <bottom style="medium">
        <color rgb="007A2E8E"/>
      </bottom>
      <diagonal/>
    </border>
    <border>
      <left/>
      <right style="medium">
        <color rgb="007A2E8E"/>
      </right>
      <top/>
      <bottom style="medium">
        <color rgb="007A2E8E"/>
      </bottom>
      <diagonal/>
    </border>
    <border>
      <bottom style="thin">
        <color rgb="00D9D9E0"/>
      </bottom>
    </border>
    <border>
      <left style="thin">
        <color rgb="00D9D9E0"/>
      </left>
      <right/>
      <top style="thin">
        <color rgb="00D9D9E0"/>
      </top>
      <bottom/>
    </border>
    <border>
      <left/>
      <right/>
      <top style="thin">
        <color rgb="00D9D9E0"/>
      </top>
      <bottom/>
    </border>
    <border>
      <left/>
      <right style="thin">
        <color rgb="00D9D9E0"/>
      </right>
      <top style="thin">
        <color rgb="00D9D9E0"/>
      </top>
      <bottom/>
    </border>
    <border>
      <left style="thin">
        <color rgb="00D9D9E0"/>
      </left>
      <right/>
      <top/>
      <bottom/>
    </border>
    <border>
      <left/>
      <right/>
      <top/>
      <bottom/>
    </border>
    <border>
      <left/>
      <right style="thin">
        <color rgb="00D9D9E0"/>
      </right>
      <top/>
      <bottom/>
    </border>
    <border>
      <left style="thin">
        <color rgb="00D9D9E0"/>
      </left>
      <right/>
      <top/>
      <bottom style="thin">
        <color rgb="00D9D9E0"/>
      </bottom>
    </border>
    <border>
      <left/>
      <right/>
      <top/>
      <bottom style="thin">
        <color rgb="00D9D9E0"/>
      </bottom>
    </border>
    <border>
      <left/>
      <right style="thin">
        <color rgb="00D9D9E0"/>
      </right>
      <top/>
      <bottom style="thin">
        <color rgb="00D9D9E0"/>
      </bottom>
    </border>
    <border>
      <left style="medium">
        <color rgb="004B138F"/>
      </left>
      <right style="thin">
        <color rgb="00D9D9E0"/>
      </right>
      <top style="medium">
        <color rgb="004B138F"/>
      </top>
      <bottom style="thin">
        <color rgb="00D9D9E0"/>
      </bottom>
    </border>
    <border>
      <left style="thin">
        <color rgb="00D9D9E0"/>
      </left>
      <right style="thin">
        <color rgb="00D9D9E0"/>
      </right>
      <top style="medium">
        <color rgb="004B138F"/>
      </top>
      <bottom style="thin">
        <color rgb="00D9D9E0"/>
      </bottom>
    </border>
    <border>
      <left style="thin">
        <color rgb="00D9D9E0"/>
      </left>
      <right style="medium">
        <color rgb="004B138F"/>
      </right>
      <top style="medium">
        <color rgb="004B138F"/>
      </top>
      <bottom style="thin">
        <color rgb="00D9D9E0"/>
      </bottom>
    </border>
    <border>
      <left style="medium">
        <color rgb="004B138F"/>
      </left>
      <right style="thin">
        <color rgb="00D9D9E0"/>
      </right>
      <top style="thin">
        <color rgb="00D9D9E0"/>
      </top>
      <bottom style="thin">
        <color rgb="00D9D9E0"/>
      </bottom>
    </border>
    <border>
      <left style="thin">
        <color rgb="00D9D9E0"/>
      </left>
      <right style="thin">
        <color rgb="00D9D9E0"/>
      </right>
      <top style="thin">
        <color rgb="00D9D9E0"/>
      </top>
      <bottom style="thin">
        <color rgb="00D9D9E0"/>
      </bottom>
    </border>
    <border>
      <left style="thin">
        <color rgb="00D9D9E0"/>
      </left>
      <right style="medium">
        <color rgb="004B138F"/>
      </right>
      <top style="thin">
        <color rgb="00D9D9E0"/>
      </top>
      <bottom style="thin">
        <color rgb="00D9D9E0"/>
      </bottom>
    </border>
    <border>
      <left style="medium">
        <color rgb="004B138F"/>
      </left>
      <right style="thin">
        <color rgb="00D9D9E0"/>
      </right>
      <top style="thin">
        <color rgb="00D9D9E0"/>
      </top>
      <bottom style="medium">
        <color rgb="004B138F"/>
      </bottom>
    </border>
    <border>
      <left style="thin">
        <color rgb="00D9D9E0"/>
      </left>
      <right style="thin">
        <color rgb="00D9D9E0"/>
      </right>
      <top style="thin">
        <color rgb="00D9D9E0"/>
      </top>
      <bottom style="medium">
        <color rgb="004B138F"/>
      </bottom>
    </border>
    <border>
      <left style="thin">
        <color rgb="00D9D9E0"/>
      </left>
      <right style="medium">
        <color rgb="004B138F"/>
      </right>
      <top style="thin">
        <color rgb="00D9D9E0"/>
      </top>
      <bottom style="medium">
        <color rgb="004B138F"/>
      </bottom>
    </border>
    <border>
      <left style="thin">
        <color rgb="00D9D9E0"/>
      </left>
      <right style="thin">
        <color rgb="00D9D9E0"/>
      </right>
      <top/>
      <bottom style="thin">
        <color rgb="00D9D9E0"/>
      </bottom>
    </border>
    <border>
      <left style="thin">
        <color rgb="00D9D9E0"/>
      </left>
      <right/>
      <top/>
      <bottom/>
      <diagonal/>
    </border>
    <border>
      <left/>
      <right style="thin">
        <color rgb="00D9D9E0"/>
      </right>
      <top/>
      <bottom/>
      <diagonal/>
    </border>
    <border>
      <left style="thin">
        <color rgb="00D9D9E0"/>
      </left>
      <right/>
      <top/>
      <bottom style="thin">
        <color rgb="00D9D9E0"/>
      </bottom>
      <diagonal/>
    </border>
    <border>
      <left/>
      <right/>
      <top/>
      <bottom style="thin">
        <color rgb="00D9D9E0"/>
      </bottom>
      <diagonal/>
    </border>
    <border>
      <left/>
      <right style="thin">
        <color rgb="00D9D9E0"/>
      </right>
      <top/>
      <bottom style="thin">
        <color rgb="00D9D9E0"/>
      </bottom>
      <diagonal/>
    </border>
    <border>
      <left style="thin">
        <color rgb="00D9D9E0"/>
      </left>
      <right style="thin">
        <color rgb="00D9D9E0"/>
      </right>
      <top style="thin">
        <color rgb="00D9D9E0"/>
      </top>
      <bottom/>
    </border>
    <border>
      <left/>
      <right/>
      <top style="thin">
        <color rgb="00D9D9E0"/>
      </top>
      <bottom/>
      <diagonal/>
    </border>
    <border>
      <left/>
      <right style="thin">
        <color rgb="00D9D9E0"/>
      </right>
      <top style="thin">
        <color rgb="00D9D9E0"/>
      </top>
      <bottom/>
      <diagonal/>
    </border>
    <border>
      <left/>
      <right/>
      <top style="medium">
        <color rgb="004B138F"/>
      </top>
      <bottom/>
      <diagonal/>
    </border>
    <border>
      <left style="medium">
        <color rgb="004B138F"/>
      </left>
      <right/>
      <top/>
      <bottom/>
      <diagonal/>
    </border>
    <border>
      <left/>
      <right style="thin">
        <color rgb="00D9D9E0"/>
      </right>
      <top style="medium">
        <color rgb="004B138F"/>
      </top>
      <bottom/>
      <diagonal/>
    </border>
    <border>
      <left style="medium">
        <color rgb="004B138F"/>
      </left>
      <right/>
      <top/>
      <bottom style="thin">
        <color rgb="00D9D9E0"/>
      </bottom>
      <diagonal/>
    </border>
    <border>
      <left style="medium">
        <color rgb="004B138F"/>
      </left>
      <right style="thin">
        <color rgb="00D0D0D0"/>
      </right>
      <top style="medium">
        <color rgb="004B138F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medium">
        <color rgb="004B138F"/>
      </top>
      <bottom style="thin">
        <color rgb="00D0D0D0"/>
      </bottom>
    </border>
    <border>
      <left style="thin">
        <color rgb="00D0D0D0"/>
      </left>
      <right style="medium">
        <color rgb="004B138F"/>
      </right>
      <top style="medium">
        <color rgb="004B138F"/>
      </top>
      <bottom style="thin">
        <color rgb="00D0D0D0"/>
      </bottom>
    </border>
    <border>
      <left style="medium">
        <color rgb="004B138F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medium">
        <color rgb="004B138F"/>
      </right>
      <top style="thin">
        <color rgb="00D0D0D0"/>
      </top>
      <bottom style="thin">
        <color rgb="00D0D0D0"/>
      </bottom>
    </border>
    <border>
      <left style="medium">
        <color rgb="004B138F"/>
      </left>
      <right style="thin">
        <color rgb="00D0D0D0"/>
      </right>
      <top style="thin">
        <color rgb="00D0D0D0"/>
      </top>
      <bottom style="medium">
        <color rgb="004B138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4B138F"/>
      </bottom>
    </border>
    <border>
      <left style="thin">
        <color rgb="00D0D0D0"/>
      </left>
      <right style="medium">
        <color rgb="004B138F"/>
      </right>
      <top style="thin">
        <color rgb="00D0D0D0"/>
      </top>
      <bottom style="medium">
        <color rgb="004B138F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4" fillId="4" borderId="3" applyAlignment="1" pivotButton="0" quotePrefix="0" xfId="0">
      <alignment horizontal="center" vertical="center"/>
    </xf>
    <xf numFmtId="0" fontId="0" fillId="4" borderId="3" pivotButton="0" quotePrefix="0" xfId="0"/>
    <xf numFmtId="0" fontId="4" fillId="4" borderId="4" applyAlignment="1" pivotButton="0" quotePrefix="0" xfId="0">
      <alignment horizontal="center" vertical="center"/>
    </xf>
    <xf numFmtId="0" fontId="0" fillId="4" borderId="4" pivotButton="0" quotePrefix="0" xfId="0"/>
    <xf numFmtId="1" fontId="5" fillId="4" borderId="2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" fontId="7" fillId="4" borderId="4" applyAlignment="1" pivotButton="0" quotePrefix="0" xfId="0">
      <alignment horizontal="center" vertical="center"/>
    </xf>
    <xf numFmtId="0" fontId="8" fillId="2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9" fillId="4" borderId="0" applyAlignment="1" pivotButton="0" quotePrefix="0" xfId="0">
      <alignment horizontal="center" vertical="center"/>
    </xf>
    <xf numFmtId="0" fontId="10" fillId="6" borderId="33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3" fontId="9" fillId="7" borderId="36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5" fontId="9" fillId="7" borderId="36" applyAlignment="1" pivotButton="0" quotePrefix="0" xfId="0">
      <alignment horizontal="center" vertical="center"/>
    </xf>
    <xf numFmtId="166" fontId="9" fillId="7" borderId="36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/>
    </xf>
    <xf numFmtId="0" fontId="13" fillId="8" borderId="42" applyAlignment="1" pivotButton="0" quotePrefix="0" xfId="0">
      <alignment vertical="center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14" fillId="4" borderId="0" applyAlignment="1" pivotButton="0" quotePrefix="0" xfId="0">
      <alignment horizontal="center"/>
    </xf>
    <xf numFmtId="0" fontId="11" fillId="4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8" fillId="6" borderId="32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4" fontId="0" fillId="0" borderId="32" applyAlignment="1" pivotButton="0" quotePrefix="0" xfId="0">
      <alignment vertical="center"/>
    </xf>
    <xf numFmtId="0" fontId="10" fillId="6" borderId="0" applyAlignment="1" pivotButton="0" quotePrefix="0" xfId="0">
      <alignment horizontal="center" vertical="center"/>
    </xf>
    <xf numFmtId="1" fontId="9" fillId="9" borderId="0" applyAlignment="1" pivotButton="0" quotePrefix="0" xfId="0">
      <alignment horizontal="center" vertical="center"/>
    </xf>
    <xf numFmtId="165" fontId="9" fillId="9" borderId="0" applyAlignment="1" pivotButton="0" quotePrefix="0" xfId="0">
      <alignment horizontal="center" vertical="center"/>
    </xf>
    <xf numFmtId="166" fontId="9" fillId="9" borderId="0" applyAlignment="1" pivotButton="0" quotePrefix="0" xfId="0">
      <alignment horizontal="center" vertical="center"/>
    </xf>
    <xf numFmtId="0" fontId="15" fillId="8" borderId="42" applyAlignment="1" pivotButton="0" quotePrefix="0" xfId="0">
      <alignment vertical="center" wrapText="1"/>
    </xf>
    <xf numFmtId="0" fontId="11" fillId="0" borderId="0" pivotButton="0" quotePrefix="0" xfId="0"/>
    <xf numFmtId="0" fontId="10" fillId="6" borderId="0" applyAlignment="1" pivotButton="0" quotePrefix="0" xfId="0">
      <alignment horizontal="center"/>
    </xf>
    <xf numFmtId="1" fontId="9" fillId="9" borderId="0" applyAlignment="1" pivotButton="0" quotePrefix="0" xfId="0">
      <alignment horizontal="center"/>
    </xf>
    <xf numFmtId="167" fontId="9" fillId="9" borderId="0" applyAlignment="1" pivotButton="0" quotePrefix="0" xfId="0">
      <alignment horizontal="center"/>
    </xf>
    <xf numFmtId="167" fontId="9" fillId="9" borderId="0" applyAlignment="1" pivotButton="0" quotePrefix="0" xfId="0">
      <alignment horizontal="center" vertical="center"/>
    </xf>
    <xf numFmtId="0" fontId="13" fillId="8" borderId="64" applyAlignment="1" pivotButton="0" quotePrefix="0" xfId="0">
      <alignment vertical="center" wrapText="1"/>
    </xf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72" pivotButton="0" quotePrefix="0" xfId="0"/>
    <xf numFmtId="168" fontId="9" fillId="9" borderId="0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'Executive Overview'!O36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Overview'!$N$37:$N$38</f>
            </numRef>
          </cat>
          <val>
            <numRef>
              <f>'Executive Overview'!$O$37:$O$38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'Executive Overview'!Q36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Overview'!$P$37:$P$38</f>
            </numRef>
          </cat>
          <val>
            <numRef>
              <f>'Executive Overview'!$Q$37:$Q$38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'Executive Overview'!S36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Overview'!$R$37:$R$41</f>
            </numRef>
          </cat>
          <val>
            <numRef>
              <f>'Executive Overview'!$S$37:$S$41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Delay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Route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'Passenger Dashboard'!O36</f>
            </strRef>
          </tx>
          <spPr>
            <a:ln xmlns:a="http://schemas.openxmlformats.org/drawingml/2006/main">
              <a:prstDash val="solid"/>
            </a:ln>
          </spPr>
          <cat>
            <numRef>
              <f>'Passenger Dashboard'!$N$37:$N$38</f>
            </numRef>
          </cat>
          <val>
            <numRef>
              <f>'Passenger Dashboard'!$O$37:$O$38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'Passenger Dashboard'!Q36</f>
            </strRef>
          </tx>
          <spPr>
            <a:ln xmlns:a="http://schemas.openxmlformats.org/drawingml/2006/main">
              <a:prstDash val="solid"/>
            </a:ln>
          </spPr>
          <cat>
            <numRef>
              <f>'Passenger Dashboard'!$P$37:$P$39</f>
            </numRef>
          </cat>
          <val>
            <numRef>
              <f>'Passenger Dashboard'!$Q$37:$Q$39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Passenger Count</a:t>
                </a:r>
              </a:p>
            </rich>
          </tx>
        </title>
        <majorTickMark val="none"/>
        <minorTickMark val="none"/>
        <crossAx val="10"/>
        <majorUnit val="1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'Passenger Dashboard'!S36</f>
            </strRef>
          </tx>
          <spPr>
            <a:ln xmlns:a="http://schemas.openxmlformats.org/drawingml/2006/main">
              <a:prstDash val="solid"/>
            </a:ln>
          </spPr>
          <cat>
            <numRef>
              <f>'Passenger Dashboard'!$R$37:$R$38</f>
            </numRef>
          </cat>
          <val>
            <numRef>
              <f>'Passenger Dashboard'!$S$37:$S$38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'Flight Operations Dashboard'!O36</f>
            </strRef>
          </tx>
          <spPr>
            <a:ln xmlns:a="http://schemas.openxmlformats.org/drawingml/2006/main">
              <a:prstDash val="solid"/>
            </a:ln>
          </spPr>
          <cat>
            <numRef>
              <f>'Flight Operations Dashboard'!$N$37:$N$40</f>
            </numRef>
          </cat>
          <val>
            <numRef>
              <f>'Flight Operations Dashboard'!$O$37:$O$40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Flights</a:t>
                </a:r>
              </a:p>
            </rich>
          </tx>
        </title>
        <majorTickMark val="none"/>
        <minorTickMark val="none"/>
        <crossAx val="10"/>
        <majorUnit val="1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'Flight Operations Dashboard'!Q36</f>
            </strRef>
          </tx>
          <spPr>
            <a:ln xmlns:a="http://schemas.openxmlformats.org/drawingml/2006/main">
              <a:prstDash val="solid"/>
            </a:ln>
          </spPr>
          <cat>
            <numRef>
              <f>'Flight Operations Dashboard'!$P$37:$P$38</f>
            </numRef>
          </cat>
          <val>
            <numRef>
              <f>'Flight Operations Dashboard'!$Q$37:$Q$38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'Flight Operations Dashboard'!S36</f>
            </strRef>
          </tx>
          <spPr>
            <a:ln xmlns:a="http://schemas.openxmlformats.org/drawingml/2006/main">
              <a:prstDash val="solid"/>
            </a:ln>
          </spPr>
          <cat>
            <numRef>
              <f>'Flight Operations Dashboard'!$R$37:$R$38</f>
            </numRef>
          </cat>
          <val>
            <numRef>
              <f>'Flight Operations Dashboard'!$S$37:$S$38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Cancelled Flights</a:t>
                </a:r>
              </a:p>
            </rich>
          </tx>
        </title>
        <majorTickMark val="none"/>
        <minorTickMark val="none"/>
        <crossAx val="10"/>
        <majorUnit val="1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'Route Performance Dashboard'!O36</f>
            </strRef>
          </tx>
          <spPr>
            <a:ln xmlns:a="http://schemas.openxmlformats.org/drawingml/2006/main">
              <a:prstDash val="solid"/>
            </a:ln>
          </spPr>
          <cat>
            <numRef>
              <f>'Route Performance Dashboard'!$N$37:$N$51</f>
            </numRef>
          </cat>
          <val>
            <numRef>
              <f>'Route Performance Dashboard'!$O$37:$O$51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Delay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'Route Performance Dashboard'!Q36</f>
            </strRef>
          </tx>
          <spPr>
            <a:ln xmlns:a="http://schemas.openxmlformats.org/drawingml/2006/main">
              <a:prstDash val="solid"/>
            </a:ln>
          </spPr>
          <cat>
            <numRef>
              <f>'Route Performance Dashboard'!$P$37:$P$42</f>
            </numRef>
          </cat>
          <val>
            <numRef>
              <f>'Route Performance Dashboard'!$Q$37:$Q$42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Delay (min)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'Route Performance Dashboard'!S36</f>
            </strRef>
          </tx>
          <spPr>
            <a:ln xmlns:a="http://schemas.openxmlformats.org/drawingml/2006/main">
              <a:prstDash val="solid"/>
            </a:ln>
          </spPr>
          <cat>
            <numRef>
              <f>'Route Performance Dashboard'!$R$37:$R$42</f>
            </numRef>
          </cat>
          <val>
            <numRef>
              <f>'Route Performance Dashboard'!$S$37:$S$42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Delay (min)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'Airport &amp; Cancellation Dashboard'!O36</f>
            </strRef>
          </tx>
          <spPr>
            <a:ln xmlns:a="http://schemas.openxmlformats.org/drawingml/2006/main">
              <a:prstDash val="solid"/>
            </a:ln>
          </spPr>
          <cat>
            <numRef>
              <f>'Airport &amp; Cancellation Dashboard'!$N$37:$N$42</f>
            </numRef>
          </cat>
          <val>
            <numRef>
              <f>'Airport &amp; Cancellation Dashboard'!$O$37:$O$42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Flight Movements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'Airport &amp; Cancellation Dashboard'!Q36</f>
            </strRef>
          </tx>
          <spPr>
            <a:ln xmlns:a="http://schemas.openxmlformats.org/drawingml/2006/main">
              <a:prstDash val="solid"/>
            </a:ln>
          </spPr>
          <cat>
            <numRef>
              <f>'Airport &amp; Cancellation Dashboard'!$P$37:$P$38</f>
            </numRef>
          </cat>
          <val>
            <numRef>
              <f>'Airport &amp; Cancellation Dashboard'!$Q$37:$Q$38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'Airport &amp; Cancellation Dashboard'!S36</f>
            </strRef>
          </tx>
          <spPr>
            <a:ln xmlns:a="http://schemas.openxmlformats.org/drawingml/2006/main">
              <a:prstDash val="solid"/>
            </a:ln>
          </spPr>
          <cat>
            <numRef>
              <f>'Airport &amp; Cancellation Dashboard'!$R$37:$R$38</f>
            </numRef>
          </cat>
          <val>
            <numRef>
              <f>'Airport &amp; Cancellation Dashboard'!$S$37:$S$38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Cancelled Flights</a:t>
                </a:r>
              </a:p>
            </rich>
          </tx>
        </title>
        <majorTickMark val="none"/>
        <minorTickMark val="none"/>
        <crossAx val="10"/>
        <majorUnit val="1"/>
      </valAx>
    </plotArea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Delay by Route (min)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'Dashboard'!$B$23:$B$37</f>
            </numRef>
          </cat>
          <val>
            <numRef>
              <f>'Dashboard'!$D$23:$D$37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Route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Flights by Source Airport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'Dashboard'!$F$23:$F$28</f>
            </numRef>
          </cat>
          <val>
            <numRef>
              <f>'Dashboard'!$G$23:$G$28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Airport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Flights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Flight Share by Destination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'Dashboard'!K22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'Dashboard'!$J$23:$J$28</f>
            </numRef>
          </cat>
          <val>
            <numRef>
              <f>'Dashboard'!$K$23:$K$28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Delay by Source Airport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'Dashboard'!$F$23:$F$28</f>
            </numRef>
          </cat>
          <val>
            <numRef>
              <f>'Dashboard'!$H$23:$H$28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Airport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Flights by Destination Airport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'Dashboard'!$J$23:$J$28</f>
            </numRef>
          </cat>
          <val>
            <numRef>
              <f>'Dashboard'!$K$23:$K$28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Airport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Flights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Route Delay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'Dashboard'!$B$23:$B$37</f>
            </numRef>
          </cat>
          <val>
            <numRef>
              <f>'Dashboard'!$D$23:$D$37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Relationship Type="http://schemas.openxmlformats.org/officeDocument/2006/relationships/chart" Target="/xl/charts/chart19.xml" Id="rId4"/><Relationship Type="http://schemas.openxmlformats.org/officeDocument/2006/relationships/chart" Target="/xl/charts/chart20.xml" Id="rId5"/><Relationship Type="http://schemas.openxmlformats.org/officeDocument/2006/relationships/chart" Target="/xl/charts/chart21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3240000" cy="25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3240000" cy="25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324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9</row>
      <rowOff>0</rowOff>
    </from>
    <ext cx="3240000" cy="25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3240000" cy="25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3240000" cy="223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9</row>
      <rowOff>0</rowOff>
    </from>
    <ext cx="3240000" cy="25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3240000" cy="25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3240000" cy="223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9</row>
      <rowOff>0</rowOff>
    </from>
    <ext cx="3240000" cy="25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3240000" cy="25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3240000" cy="223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9</row>
      <rowOff>0</rowOff>
    </from>
    <ext cx="3240000" cy="255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3240000" cy="25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3240000" cy="223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8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8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23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23</row>
      <rowOff>0</rowOff>
    </from>
    <ext cx="468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23</row>
      <rowOff>0</rowOff>
    </from>
    <ext cx="432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lightData" displayName="FlightData" ref="A1:D16" headerRowCount="1">
  <autoFilter ref="A1:D16"/>
  <tableColumns count="4">
    <tableColumn id="1" name="Source"/>
    <tableColumn id="2" name="Destination"/>
    <tableColumn id="3" name="Total Flights"/>
    <tableColumn id="4" name="Average Delay (min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assengerDataTable" displayName="PassengerDataTable" ref="A1:H15" headerRowCount="1">
  <autoFilter ref="A1:H15"/>
  <tableColumns count="8">
    <tableColumn id="1" name="passenger_id"/>
    <tableColumn id="2" name="flight_id"/>
    <tableColumn id="3" name="passenger_name"/>
    <tableColumn id="4" name="age"/>
    <tableColumn id="5" name="gender"/>
    <tableColumn id="6" name="travel_class"/>
    <tableColumn id="7" name="ticket_price"/>
    <tableColumn id="8" name="booking_dat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FlightDetailsTable" displayName="FlightDetailsTable" ref="A1:M16" headerRowCount="1">
  <autoFilter ref="A1:M16"/>
  <tableColumns count="13">
    <tableColumn id="1" name="flight_id"/>
    <tableColumn id="2" name="flight_number"/>
    <tableColumn id="3" name="airline_id"/>
    <tableColumn id="4" name="source_airport_id"/>
    <tableColumn id="5" name="destination_airport_id"/>
    <tableColumn id="6" name="flight_date"/>
    <tableColumn id="7" name="scheduled_departure"/>
    <tableColumn id="8" name="actual_departure"/>
    <tableColumn id="9" name="scheduled_arrival"/>
    <tableColumn id="10" name="actual_arrival"/>
    <tableColumn id="11" name="status"/>
    <tableColumn id="12" name="delay_minutes"/>
    <tableColumn id="13" name="cancellation_reaso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AirportDataTable" displayName="AirportDataTable" ref="A1:E7" headerRowCount="1">
  <autoFilter ref="A1:E7"/>
  <tableColumns count="5">
    <tableColumn id="1" name="airport_id"/>
    <tableColumn id="2" name="airport_code"/>
    <tableColumn id="3" name="airport_name"/>
    <tableColumn id="4" name="city"/>
    <tableColumn id="5" name="country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CancellationsTable" displayName="CancellationsTable" ref="A1:C3" headerRowCount="1">
  <autoFilter ref="A1:C3"/>
  <tableColumns count="3">
    <tableColumn id="1" name="flight_number"/>
    <tableColumn id="2" name="airline_name"/>
    <tableColumn id="3" name="cancellation_reas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4B138F"/>
    <outlinePr summaryBelow="1" summaryRight="1"/>
    <pageSetUpPr fitToPage="1"/>
  </sheetPr>
  <dimension ref="A1:S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" customWidth="1" min="13" max="13"/>
  </cols>
  <sheetData>
    <row r="1" ht="22" customHeight="1">
      <c r="A1" s="15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34" customHeight="1">
      <c r="A2" s="15" t="n"/>
      <c r="B2" s="16" t="inlineStr">
        <is>
          <t>EXECUTIVE FLIGHT &amp; PASSENGER DASHBOARD 2026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2" customHeight="1">
      <c r="A4" s="15" t="n"/>
      <c r="B4" s="66" t="inlineStr">
        <is>
          <t>TOTAL FLIGHTS</t>
        </is>
      </c>
      <c r="E4" s="15" t="n"/>
      <c r="F4" s="66" t="inlineStr">
        <is>
          <t>TOTAL PASSENGERS</t>
        </is>
      </c>
      <c r="I4" s="15" t="n"/>
      <c r="J4" s="66" t="inlineStr">
        <is>
          <t>AVG DELAY</t>
        </is>
      </c>
      <c r="M4" s="15" t="n"/>
    </row>
    <row r="5" ht="22" customHeight="1">
      <c r="A5" s="15" t="n"/>
      <c r="B5" s="67" t="n">
        <v>15</v>
      </c>
      <c r="E5" s="15" t="n"/>
      <c r="F5" s="67" t="n">
        <v>14</v>
      </c>
      <c r="I5" s="15" t="n"/>
      <c r="J5" s="75" t="n">
        <v>23</v>
      </c>
      <c r="M5" s="15" t="n"/>
    </row>
    <row r="6" ht="22" customHeight="1">
      <c r="A6" s="15" t="n"/>
      <c r="E6" s="15" t="n"/>
      <c r="I6" s="15" t="n"/>
      <c r="M6" s="15" t="n"/>
    </row>
    <row r="7" ht="22" customHeight="1">
      <c r="A7" s="15" t="n"/>
      <c r="E7" s="15" t="n"/>
      <c r="I7" s="15" t="n"/>
      <c r="M7" s="15" t="n"/>
    </row>
    <row r="8" ht="22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 ht="22" customHeight="1">
      <c r="A9" s="15" t="n"/>
      <c r="B9" s="29" t="inlineStr">
        <is>
          <t>Flight Status</t>
        </is>
      </c>
      <c r="G9" s="15" t="n"/>
      <c r="H9" s="29" t="inlineStr">
        <is>
          <t>Passenger Gender</t>
        </is>
      </c>
      <c r="M9" s="15" t="n"/>
    </row>
    <row r="10" ht="22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 ht="22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 ht="22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 ht="22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 ht="22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 ht="22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 ht="22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 ht="22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 ht="22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 ht="22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 ht="22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 ht="22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 ht="22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 ht="22" customHeight="1">
      <c r="A23" s="15" t="n"/>
      <c r="B23" s="29" t="inlineStr">
        <is>
          <t>Top Delay Routes</t>
        </is>
      </c>
      <c r="G23" s="15" t="n"/>
      <c r="H23" s="29" t="inlineStr">
        <is>
          <t>Executive Highlights</t>
        </is>
      </c>
      <c r="M23" s="15" t="n"/>
    </row>
    <row r="24" ht="22" customHeight="1">
      <c r="A24" s="15" t="n"/>
      <c r="B24" s="15" t="n"/>
      <c r="C24" s="15" t="n"/>
      <c r="D24" s="15" t="n"/>
      <c r="E24" s="15" t="n"/>
      <c r="F24" s="15" t="n"/>
      <c r="G24" s="15" t="n"/>
      <c r="H24" s="76" t="inlineStr">
        <is>
          <t>• Total Flights: 15
• Total Passengers: 14
• Average Delay: 23.0 minutes
• Cancelled Flights: 2 (13.3%)
• Highest Delay: 90 min (SG408)
• Highest-Fare Passenger: Anjali Mehta (₹25,000)</t>
        </is>
      </c>
      <c r="I24" s="77" t="n"/>
      <c r="J24" s="77" t="n"/>
      <c r="K24" s="77" t="n"/>
      <c r="L24" s="78" t="n"/>
      <c r="M24" s="15" t="n"/>
    </row>
    <row r="25" ht="22" customHeight="1">
      <c r="A25" s="15" t="n"/>
      <c r="B25" s="15" t="n"/>
      <c r="C25" s="15" t="n"/>
      <c r="D25" s="15" t="n"/>
      <c r="E25" s="15" t="n"/>
      <c r="F25" s="15" t="n"/>
      <c r="G25" s="15" t="n"/>
      <c r="H25" s="79" t="n"/>
      <c r="I25" s="80" t="n"/>
      <c r="J25" s="80" t="n"/>
      <c r="K25" s="80" t="n"/>
      <c r="L25" s="81" t="n"/>
      <c r="M25" s="15" t="n"/>
    </row>
    <row r="26" ht="22" customHeight="1">
      <c r="A26" s="15" t="n"/>
      <c r="B26" s="15" t="n"/>
      <c r="C26" s="15" t="n"/>
      <c r="D26" s="15" t="n"/>
      <c r="E26" s="15" t="n"/>
      <c r="F26" s="15" t="n"/>
      <c r="G26" s="15" t="n"/>
      <c r="H26" s="79" t="n"/>
      <c r="I26" s="80" t="n"/>
      <c r="J26" s="80" t="n"/>
      <c r="K26" s="80" t="n"/>
      <c r="L26" s="81" t="n"/>
      <c r="M26" s="15" t="n"/>
    </row>
    <row r="27" ht="22" customHeight="1">
      <c r="A27" s="15" t="n"/>
      <c r="B27" s="15" t="n"/>
      <c r="C27" s="15" t="n"/>
      <c r="D27" s="15" t="n"/>
      <c r="E27" s="15" t="n"/>
      <c r="F27" s="15" t="n"/>
      <c r="G27" s="15" t="n"/>
      <c r="H27" s="79" t="n"/>
      <c r="I27" s="80" t="n"/>
      <c r="J27" s="80" t="n"/>
      <c r="K27" s="80" t="n"/>
      <c r="L27" s="81" t="n"/>
      <c r="M27" s="15" t="n"/>
    </row>
    <row r="28" ht="22" customHeight="1">
      <c r="A28" s="15" t="n"/>
      <c r="B28" s="15" t="n"/>
      <c r="C28" s="15" t="n"/>
      <c r="D28" s="15" t="n"/>
      <c r="E28" s="15" t="n"/>
      <c r="F28" s="15" t="n"/>
      <c r="G28" s="15" t="n"/>
      <c r="H28" s="79" t="n"/>
      <c r="I28" s="80" t="n"/>
      <c r="J28" s="80" t="n"/>
      <c r="K28" s="80" t="n"/>
      <c r="L28" s="81" t="n"/>
      <c r="M28" s="15" t="n"/>
    </row>
    <row r="29" ht="22" customHeight="1">
      <c r="A29" s="15" t="n"/>
      <c r="B29" s="15" t="n"/>
      <c r="C29" s="15" t="n"/>
      <c r="D29" s="15" t="n"/>
      <c r="E29" s="15" t="n"/>
      <c r="F29" s="15" t="n"/>
      <c r="G29" s="15" t="n"/>
      <c r="H29" s="79" t="n"/>
      <c r="I29" s="80" t="n"/>
      <c r="J29" s="80" t="n"/>
      <c r="K29" s="80" t="n"/>
      <c r="L29" s="81" t="n"/>
      <c r="M29" s="15" t="n"/>
    </row>
    <row r="30" ht="22" customHeight="1">
      <c r="A30" s="15" t="n"/>
      <c r="B30" s="15" t="n"/>
      <c r="C30" s="15" t="n"/>
      <c r="D30" s="15" t="n"/>
      <c r="E30" s="15" t="n"/>
      <c r="F30" s="15" t="n"/>
      <c r="G30" s="15" t="n"/>
      <c r="H30" s="79" t="n"/>
      <c r="I30" s="80" t="n"/>
      <c r="J30" s="80" t="n"/>
      <c r="K30" s="80" t="n"/>
      <c r="L30" s="81" t="n"/>
      <c r="M30" s="15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82" t="n"/>
      <c r="I31" s="83" t="n"/>
      <c r="J31" s="83" t="n"/>
      <c r="K31" s="83" t="n"/>
      <c r="L31" s="84" t="n"/>
      <c r="M31" s="15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 ht="22" customHeight="1">
      <c r="A33" s="15" t="n"/>
      <c r="B33" s="40" t="inlineStr">
        <is>
          <t>Source: All values calculated from the uploaded Excel workbook data.</t>
        </is>
      </c>
      <c r="M33" s="15" t="n"/>
    </row>
    <row r="34" ht="22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 ht="22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N36" s="71" t="inlineStr">
        <is>
          <t>Status</t>
        </is>
      </c>
      <c r="O36" s="71" t="inlineStr">
        <is>
          <t>Flights</t>
        </is>
      </c>
      <c r="P36" s="71" t="inlineStr">
        <is>
          <t>Gender</t>
        </is>
      </c>
      <c r="Q36" s="71" t="inlineStr">
        <is>
          <t>Passengers</t>
        </is>
      </c>
      <c r="R36" s="71" t="inlineStr">
        <is>
          <t>Route</t>
        </is>
      </c>
      <c r="S36" s="71" t="inlineStr">
        <is>
          <t>Avg Delay</t>
        </is>
      </c>
    </row>
    <row r="37">
      <c r="N37" s="71" t="inlineStr">
        <is>
          <t>Completed</t>
        </is>
      </c>
      <c r="O37" s="71" t="n">
        <v>13</v>
      </c>
      <c r="P37" s="71" t="inlineStr">
        <is>
          <t>Male</t>
        </is>
      </c>
      <c r="Q37" s="71" t="n">
        <v>7</v>
      </c>
      <c r="R37" s="71" t="inlineStr">
        <is>
          <t>HYD → DEL</t>
        </is>
      </c>
      <c r="S37" s="71" t="n">
        <v>90</v>
      </c>
    </row>
    <row r="38">
      <c r="N38" s="71" t="inlineStr">
        <is>
          <t>Cancelled</t>
        </is>
      </c>
      <c r="O38" s="71" t="n">
        <v>2</v>
      </c>
      <c r="P38" s="71" t="inlineStr">
        <is>
          <t>Female</t>
        </is>
      </c>
      <c r="Q38" s="71" t="n">
        <v>7</v>
      </c>
      <c r="R38" s="71" t="inlineStr">
        <is>
          <t>BOM → CCU</t>
        </is>
      </c>
      <c r="S38" s="71" t="n">
        <v>50</v>
      </c>
    </row>
    <row r="39">
      <c r="N39" s="71" t="n"/>
      <c r="O39" s="71" t="n"/>
      <c r="P39" s="71" t="n"/>
      <c r="Q39" s="71" t="n"/>
      <c r="R39" s="71" t="inlineStr">
        <is>
          <t>BOM → DEL</t>
        </is>
      </c>
      <c r="S39" s="71" t="n">
        <v>45</v>
      </c>
    </row>
    <row r="40">
      <c r="N40" s="71" t="n"/>
      <c r="O40" s="71" t="n"/>
      <c r="P40" s="71" t="n"/>
      <c r="Q40" s="71" t="n"/>
      <c r="R40" s="71" t="inlineStr">
        <is>
          <t>BLR → HYD</t>
        </is>
      </c>
      <c r="S40" s="71" t="n">
        <v>40</v>
      </c>
    </row>
    <row r="41">
      <c r="N41" s="71" t="n"/>
      <c r="O41" s="71" t="n"/>
      <c r="P41" s="71" t="n"/>
      <c r="Q41" s="71" t="n"/>
      <c r="R41" s="71" t="inlineStr">
        <is>
          <t>HYD → BOM</t>
        </is>
      </c>
      <c r="S41" s="71" t="n">
        <v>30</v>
      </c>
    </row>
  </sheetData>
  <mergeCells count="13">
    <mergeCell ref="H9:L9"/>
    <mergeCell ref="H24:L31"/>
    <mergeCell ref="J5:L7"/>
    <mergeCell ref="B5:D7"/>
    <mergeCell ref="F5:H7"/>
    <mergeCell ref="B33:L33"/>
    <mergeCell ref="B4:D4"/>
    <mergeCell ref="B2:L2"/>
    <mergeCell ref="F4:H4"/>
    <mergeCell ref="B23:F23"/>
    <mergeCell ref="J4:L4"/>
    <mergeCell ref="H23:L23"/>
    <mergeCell ref="B9:F9"/>
  </mergeCells>
  <pageMargins left="0.2" right="0.2" top="0.3" bottom="0.3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B138F"/>
    <outlinePr summaryBelow="1" summaryRight="1"/>
    <pageSetUpPr fitToPage="1"/>
  </sheetPr>
  <dimension ref="A1:S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" customWidth="1" min="13" max="13"/>
  </cols>
  <sheetData>
    <row r="1" ht="22" customHeight="1">
      <c r="A1" s="15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34" customHeight="1">
      <c r="A2" s="15" t="n"/>
      <c r="B2" s="16" t="inlineStr">
        <is>
          <t>PASSENGER DEMOGRAPHICS &amp; BOOKING DASHBOARD 2026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2" customHeight="1">
      <c r="A4" s="15" t="n"/>
      <c r="B4" s="66" t="inlineStr">
        <is>
          <t>TOTAL PASSENGERS</t>
        </is>
      </c>
      <c r="E4" s="15" t="n"/>
      <c r="F4" s="66" t="inlineStr">
        <is>
          <t>AVERAGE AGE</t>
        </is>
      </c>
      <c r="I4" s="15" t="n"/>
      <c r="J4" s="66" t="inlineStr">
        <is>
          <t>AVG TICKET PRICE</t>
        </is>
      </c>
      <c r="M4" s="15" t="n"/>
    </row>
    <row r="5" ht="22" customHeight="1">
      <c r="A5" s="15" t="n"/>
      <c r="B5" s="67" t="n">
        <v>14</v>
      </c>
      <c r="E5" s="15" t="n"/>
      <c r="F5" s="68" t="n">
        <v>30.85714285714286</v>
      </c>
      <c r="I5" s="15" t="n"/>
      <c r="J5" s="69" t="n">
        <v>9164.285714285714</v>
      </c>
      <c r="M5" s="15" t="n"/>
    </row>
    <row r="6" ht="22" customHeight="1">
      <c r="A6" s="15" t="n"/>
      <c r="E6" s="15" t="n"/>
      <c r="I6" s="15" t="n"/>
      <c r="M6" s="15" t="n"/>
    </row>
    <row r="7" ht="22" customHeight="1">
      <c r="A7" s="15" t="n"/>
      <c r="E7" s="15" t="n"/>
      <c r="I7" s="15" t="n"/>
      <c r="M7" s="15" t="n"/>
    </row>
    <row r="8" ht="22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 ht="22" customHeight="1">
      <c r="A9" s="15" t="n"/>
      <c r="B9" s="29" t="inlineStr">
        <is>
          <t>Passenger Gender Distribution</t>
        </is>
      </c>
      <c r="G9" s="15" t="n"/>
      <c r="H9" s="29" t="inlineStr">
        <is>
          <t>Passenger Age Distribution</t>
        </is>
      </c>
      <c r="M9" s="15" t="n"/>
    </row>
    <row r="10" ht="22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 ht="22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 ht="22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 ht="22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 ht="22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 ht="22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 ht="22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 ht="22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 ht="22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 ht="22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 ht="22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 ht="22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 ht="22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 ht="22" customHeight="1">
      <c r="A23" s="15" t="n"/>
      <c r="B23" s="29" t="inlineStr">
        <is>
          <t>Travel Class Distribution</t>
        </is>
      </c>
      <c r="G23" s="15" t="n"/>
      <c r="H23" s="29" t="inlineStr">
        <is>
          <t>Booking &amp; Fare Highlights</t>
        </is>
      </c>
      <c r="M23" s="15" t="n"/>
    </row>
    <row r="24" ht="22" customHeight="1">
      <c r="A24" s="15" t="n"/>
      <c r="B24" s="15" t="n"/>
      <c r="C24" s="15" t="n"/>
      <c r="D24" s="15" t="n"/>
      <c r="E24" s="15" t="n"/>
      <c r="F24" s="15" t="n"/>
      <c r="G24" s="15" t="n"/>
      <c r="H24" s="76" t="inlineStr">
        <is>
          <t>• Total Booked Passengers: 14
• Average Passenger Age: 30.9 Years
• Gender: 50% Male / 50% Female
• Primary Age Group: 26-35 (57.1%)
• Highest Fare: Anjali Mehta (₹25,000)
• Average Ticket Price: ₹9,164</t>
        </is>
      </c>
      <c r="I24" s="77" t="n"/>
      <c r="J24" s="77" t="n"/>
      <c r="K24" s="77" t="n"/>
      <c r="L24" s="78" t="n"/>
      <c r="M24" s="15" t="n"/>
    </row>
    <row r="25" ht="22" customHeight="1">
      <c r="A25" s="15" t="n"/>
      <c r="B25" s="15" t="n"/>
      <c r="C25" s="15" t="n"/>
      <c r="D25" s="15" t="n"/>
      <c r="E25" s="15" t="n"/>
      <c r="F25" s="15" t="n"/>
      <c r="G25" s="15" t="n"/>
      <c r="H25" s="79" t="n"/>
      <c r="I25" s="80" t="n"/>
      <c r="J25" s="80" t="n"/>
      <c r="K25" s="80" t="n"/>
      <c r="L25" s="81" t="n"/>
      <c r="M25" s="15" t="n"/>
    </row>
    <row r="26" ht="22" customHeight="1">
      <c r="A26" s="15" t="n"/>
      <c r="B26" s="15" t="n"/>
      <c r="C26" s="15" t="n"/>
      <c r="D26" s="15" t="n"/>
      <c r="E26" s="15" t="n"/>
      <c r="F26" s="15" t="n"/>
      <c r="G26" s="15" t="n"/>
      <c r="H26" s="79" t="n"/>
      <c r="I26" s="80" t="n"/>
      <c r="J26" s="80" t="n"/>
      <c r="K26" s="80" t="n"/>
      <c r="L26" s="81" t="n"/>
      <c r="M26" s="15" t="n"/>
    </row>
    <row r="27" ht="22" customHeight="1">
      <c r="A27" s="15" t="n"/>
      <c r="B27" s="15" t="n"/>
      <c r="C27" s="15" t="n"/>
      <c r="D27" s="15" t="n"/>
      <c r="E27" s="15" t="n"/>
      <c r="F27" s="15" t="n"/>
      <c r="G27" s="15" t="n"/>
      <c r="H27" s="79" t="n"/>
      <c r="I27" s="80" t="n"/>
      <c r="J27" s="80" t="n"/>
      <c r="K27" s="80" t="n"/>
      <c r="L27" s="81" t="n"/>
      <c r="M27" s="15" t="n"/>
    </row>
    <row r="28" ht="22" customHeight="1">
      <c r="A28" s="15" t="n"/>
      <c r="B28" s="15" t="n"/>
      <c r="C28" s="15" t="n"/>
      <c r="D28" s="15" t="n"/>
      <c r="E28" s="15" t="n"/>
      <c r="F28" s="15" t="n"/>
      <c r="G28" s="15" t="n"/>
      <c r="H28" s="79" t="n"/>
      <c r="I28" s="80" t="n"/>
      <c r="J28" s="80" t="n"/>
      <c r="K28" s="80" t="n"/>
      <c r="L28" s="81" t="n"/>
      <c r="M28" s="15" t="n"/>
    </row>
    <row r="29" ht="22" customHeight="1">
      <c r="A29" s="15" t="n"/>
      <c r="B29" s="15" t="n"/>
      <c r="C29" s="15" t="n"/>
      <c r="D29" s="15" t="n"/>
      <c r="E29" s="15" t="n"/>
      <c r="F29" s="15" t="n"/>
      <c r="G29" s="15" t="n"/>
      <c r="H29" s="79" t="n"/>
      <c r="I29" s="80" t="n"/>
      <c r="J29" s="80" t="n"/>
      <c r="K29" s="80" t="n"/>
      <c r="L29" s="81" t="n"/>
      <c r="M29" s="15" t="n"/>
    </row>
    <row r="30" ht="22" customHeight="1">
      <c r="A30" s="15" t="n"/>
      <c r="B30" s="15" t="n"/>
      <c r="C30" s="15" t="n"/>
      <c r="D30" s="15" t="n"/>
      <c r="E30" s="15" t="n"/>
      <c r="F30" s="15" t="n"/>
      <c r="G30" s="15" t="n"/>
      <c r="H30" s="79" t="n"/>
      <c r="I30" s="80" t="n"/>
      <c r="J30" s="80" t="n"/>
      <c r="K30" s="80" t="n"/>
      <c r="L30" s="81" t="n"/>
      <c r="M30" s="15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82" t="n"/>
      <c r="I31" s="83" t="n"/>
      <c r="J31" s="83" t="n"/>
      <c r="K31" s="83" t="n"/>
      <c r="L31" s="84" t="n"/>
      <c r="M31" s="15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 ht="22" customHeight="1">
      <c r="A33" s="15" t="n"/>
      <c r="B33" s="40" t="inlineStr">
        <is>
          <t>Source: All values calculated from the uploaded Excel workbook data.</t>
        </is>
      </c>
      <c r="M33" s="15" t="n"/>
    </row>
    <row r="34" ht="22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 ht="22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N36" s="71" t="inlineStr">
        <is>
          <t>Gender</t>
        </is>
      </c>
      <c r="O36" s="71" t="inlineStr">
        <is>
          <t>Count</t>
        </is>
      </c>
      <c r="P36" s="71" t="inlineStr">
        <is>
          <t>Age Group</t>
        </is>
      </c>
      <c r="Q36" s="71" t="inlineStr">
        <is>
          <t>Count</t>
        </is>
      </c>
      <c r="R36" s="71" t="inlineStr">
        <is>
          <t>Class</t>
        </is>
      </c>
      <c r="S36" s="71" t="inlineStr">
        <is>
          <t>Passengers</t>
        </is>
      </c>
    </row>
    <row r="37">
      <c r="N37" s="71" t="inlineStr">
        <is>
          <t>Male</t>
        </is>
      </c>
      <c r="O37" s="71" t="n">
        <v>7</v>
      </c>
      <c r="P37" s="71" t="inlineStr">
        <is>
          <t>18-25</t>
        </is>
      </c>
      <c r="Q37" s="71" t="n">
        <v>3</v>
      </c>
      <c r="R37" s="71" t="inlineStr">
        <is>
          <t>Economy</t>
        </is>
      </c>
      <c r="S37" s="71" t="n">
        <v>10</v>
      </c>
    </row>
    <row r="38">
      <c r="N38" s="71" t="inlineStr">
        <is>
          <t>Female</t>
        </is>
      </c>
      <c r="O38" s="71" t="n">
        <v>7</v>
      </c>
      <c r="P38" s="71" t="inlineStr">
        <is>
          <t>26-35</t>
        </is>
      </c>
      <c r="Q38" s="71" t="n">
        <v>8</v>
      </c>
      <c r="R38" s="71" t="inlineStr">
        <is>
          <t>Business</t>
        </is>
      </c>
      <c r="S38" s="71" t="n">
        <v>4</v>
      </c>
    </row>
    <row r="39">
      <c r="N39" s="71" t="n"/>
      <c r="O39" s="71" t="n"/>
      <c r="P39" s="71" t="inlineStr">
        <is>
          <t>36-45</t>
        </is>
      </c>
      <c r="Q39" s="71" t="n">
        <v>3</v>
      </c>
      <c r="R39" s="71" t="n"/>
      <c r="S39" s="71" t="n"/>
    </row>
  </sheetData>
  <mergeCells count="13">
    <mergeCell ref="H9:L9"/>
    <mergeCell ref="H24:L31"/>
    <mergeCell ref="J5:L7"/>
    <mergeCell ref="B5:D7"/>
    <mergeCell ref="F5:H7"/>
    <mergeCell ref="B33:L33"/>
    <mergeCell ref="B4:D4"/>
    <mergeCell ref="B2:L2"/>
    <mergeCell ref="F4:H4"/>
    <mergeCell ref="B23:F23"/>
    <mergeCell ref="J4:L4"/>
    <mergeCell ref="H23:L23"/>
    <mergeCell ref="B9:F9"/>
  </mergeCells>
  <pageMargins left="0.2" right="0.2" top="0.3" bottom="0.3" header="0.5" footer="0.5"/>
  <pageSetup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B138F"/>
    <outlinePr summaryBelow="1" summaryRight="1"/>
    <pageSetUpPr fitToPage="1"/>
  </sheetPr>
  <dimension ref="A1:S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" customWidth="1" min="13" max="13"/>
  </cols>
  <sheetData>
    <row r="1" ht="22" customHeight="1">
      <c r="A1" s="15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34" customHeight="1">
      <c r="A2" s="15" t="n"/>
      <c r="B2" s="16" t="inlineStr">
        <is>
          <t>FLIGHT OPERATIONS &amp; DELAY DASHBOARD 2026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2" customHeight="1">
      <c r="A4" s="15" t="n"/>
      <c r="B4" s="66" t="inlineStr">
        <is>
          <t>TOTAL FLIGHTS</t>
        </is>
      </c>
      <c r="E4" s="15" t="n"/>
      <c r="F4" s="66" t="inlineStr">
        <is>
          <t>AVG DELAY</t>
        </is>
      </c>
      <c r="I4" s="15" t="n"/>
      <c r="J4" s="66" t="inlineStr">
        <is>
          <t>MAX DELAY</t>
        </is>
      </c>
      <c r="M4" s="15" t="n"/>
    </row>
    <row r="5" ht="22" customHeight="1">
      <c r="A5" s="15" t="n"/>
      <c r="B5" s="67" t="n">
        <v>15</v>
      </c>
      <c r="E5" s="15" t="n"/>
      <c r="F5" s="75" t="n">
        <v>23</v>
      </c>
      <c r="I5" s="15" t="n"/>
      <c r="J5" s="85" t="n">
        <v>90</v>
      </c>
      <c r="M5" s="15" t="n"/>
    </row>
    <row r="6" ht="22" customHeight="1">
      <c r="A6" s="15" t="n"/>
      <c r="E6" s="15" t="n"/>
      <c r="I6" s="15" t="n"/>
      <c r="M6" s="15" t="n"/>
    </row>
    <row r="7" ht="22" customHeight="1">
      <c r="A7" s="15" t="n"/>
      <c r="E7" s="15" t="n"/>
      <c r="I7" s="15" t="n"/>
      <c r="M7" s="15" t="n"/>
    </row>
    <row r="8" ht="22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 ht="22" customHeight="1">
      <c r="A9" s="15" t="n"/>
      <c r="B9" s="29" t="inlineStr">
        <is>
          <t>Delay Distribution</t>
        </is>
      </c>
      <c r="G9" s="15" t="n"/>
      <c r="H9" s="29" t="inlineStr">
        <is>
          <t>Flight Status</t>
        </is>
      </c>
      <c r="M9" s="15" t="n"/>
    </row>
    <row r="10" ht="22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 ht="22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 ht="22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 ht="22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 ht="22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 ht="22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 ht="22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 ht="22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 ht="22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 ht="22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 ht="22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 ht="22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 ht="22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 ht="22" customHeight="1">
      <c r="A23" s="15" t="n"/>
      <c r="B23" s="29" t="inlineStr">
        <is>
          <t>Cancellation Reasons</t>
        </is>
      </c>
      <c r="G23" s="15" t="n"/>
      <c r="H23" s="29" t="inlineStr">
        <is>
          <t>Operations Highlights</t>
        </is>
      </c>
      <c r="M23" s="15" t="n"/>
    </row>
    <row r="24" ht="22" customHeight="1">
      <c r="A24" s="15" t="n"/>
      <c r="B24" s="15" t="n"/>
      <c r="C24" s="15" t="n"/>
      <c r="D24" s="15" t="n"/>
      <c r="E24" s="15" t="n"/>
      <c r="F24" s="15" t="n"/>
      <c r="G24" s="15" t="n"/>
      <c r="H24" s="76" t="inlineStr">
        <is>
          <t>• Completed Flights: 13
• Cancelled Flights: 2 (13.3%)
• Average Delay: 23.0 minutes
• Maximum Delay: 90 minutes (SG408)
• Flights ≤15 min delay: 8 (53.3%)
• Main Cancellation Causes: Technical Problem &amp; Weather</t>
        </is>
      </c>
      <c r="I24" s="77" t="n"/>
      <c r="J24" s="77" t="n"/>
      <c r="K24" s="77" t="n"/>
      <c r="L24" s="78" t="n"/>
      <c r="M24" s="15" t="n"/>
    </row>
    <row r="25" ht="22" customHeight="1">
      <c r="A25" s="15" t="n"/>
      <c r="B25" s="15" t="n"/>
      <c r="C25" s="15" t="n"/>
      <c r="D25" s="15" t="n"/>
      <c r="E25" s="15" t="n"/>
      <c r="F25" s="15" t="n"/>
      <c r="G25" s="15" t="n"/>
      <c r="H25" s="79" t="n"/>
      <c r="I25" s="80" t="n"/>
      <c r="J25" s="80" t="n"/>
      <c r="K25" s="80" t="n"/>
      <c r="L25" s="81" t="n"/>
      <c r="M25" s="15" t="n"/>
    </row>
    <row r="26" ht="22" customHeight="1">
      <c r="A26" s="15" t="n"/>
      <c r="B26" s="15" t="n"/>
      <c r="C26" s="15" t="n"/>
      <c r="D26" s="15" t="n"/>
      <c r="E26" s="15" t="n"/>
      <c r="F26" s="15" t="n"/>
      <c r="G26" s="15" t="n"/>
      <c r="H26" s="79" t="n"/>
      <c r="I26" s="80" t="n"/>
      <c r="J26" s="80" t="n"/>
      <c r="K26" s="80" t="n"/>
      <c r="L26" s="81" t="n"/>
      <c r="M26" s="15" t="n"/>
    </row>
    <row r="27" ht="22" customHeight="1">
      <c r="A27" s="15" t="n"/>
      <c r="B27" s="15" t="n"/>
      <c r="C27" s="15" t="n"/>
      <c r="D27" s="15" t="n"/>
      <c r="E27" s="15" t="n"/>
      <c r="F27" s="15" t="n"/>
      <c r="G27" s="15" t="n"/>
      <c r="H27" s="79" t="n"/>
      <c r="I27" s="80" t="n"/>
      <c r="J27" s="80" t="n"/>
      <c r="K27" s="80" t="n"/>
      <c r="L27" s="81" t="n"/>
      <c r="M27" s="15" t="n"/>
    </row>
    <row r="28" ht="22" customHeight="1">
      <c r="A28" s="15" t="n"/>
      <c r="B28" s="15" t="n"/>
      <c r="C28" s="15" t="n"/>
      <c r="D28" s="15" t="n"/>
      <c r="E28" s="15" t="n"/>
      <c r="F28" s="15" t="n"/>
      <c r="G28" s="15" t="n"/>
      <c r="H28" s="79" t="n"/>
      <c r="I28" s="80" t="n"/>
      <c r="J28" s="80" t="n"/>
      <c r="K28" s="80" t="n"/>
      <c r="L28" s="81" t="n"/>
      <c r="M28" s="15" t="n"/>
    </row>
    <row r="29" ht="22" customHeight="1">
      <c r="A29" s="15" t="n"/>
      <c r="B29" s="15" t="n"/>
      <c r="C29" s="15" t="n"/>
      <c r="D29" s="15" t="n"/>
      <c r="E29" s="15" t="n"/>
      <c r="F29" s="15" t="n"/>
      <c r="G29" s="15" t="n"/>
      <c r="H29" s="79" t="n"/>
      <c r="I29" s="80" t="n"/>
      <c r="J29" s="80" t="n"/>
      <c r="K29" s="80" t="n"/>
      <c r="L29" s="81" t="n"/>
      <c r="M29" s="15" t="n"/>
    </row>
    <row r="30" ht="22" customHeight="1">
      <c r="A30" s="15" t="n"/>
      <c r="B30" s="15" t="n"/>
      <c r="C30" s="15" t="n"/>
      <c r="D30" s="15" t="n"/>
      <c r="E30" s="15" t="n"/>
      <c r="F30" s="15" t="n"/>
      <c r="G30" s="15" t="n"/>
      <c r="H30" s="79" t="n"/>
      <c r="I30" s="80" t="n"/>
      <c r="J30" s="80" t="n"/>
      <c r="K30" s="80" t="n"/>
      <c r="L30" s="81" t="n"/>
      <c r="M30" s="15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82" t="n"/>
      <c r="I31" s="83" t="n"/>
      <c r="J31" s="83" t="n"/>
      <c r="K31" s="83" t="n"/>
      <c r="L31" s="84" t="n"/>
      <c r="M31" s="15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 ht="22" customHeight="1">
      <c r="A33" s="15" t="n"/>
      <c r="B33" s="40" t="inlineStr">
        <is>
          <t>Source: All values calculated from the uploaded Excel workbook data.</t>
        </is>
      </c>
      <c r="M33" s="15" t="n"/>
    </row>
    <row r="34" ht="22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 ht="22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N36" s="71" t="inlineStr">
        <is>
          <t>Delay Bucket</t>
        </is>
      </c>
      <c r="O36" s="71" t="inlineStr">
        <is>
          <t>Flights</t>
        </is>
      </c>
      <c r="P36" s="71" t="inlineStr">
        <is>
          <t>Status</t>
        </is>
      </c>
      <c r="Q36" s="71" t="inlineStr">
        <is>
          <t>Flights</t>
        </is>
      </c>
      <c r="R36" s="71" t="inlineStr">
        <is>
          <t>Reason</t>
        </is>
      </c>
      <c r="S36" s="71" t="inlineStr">
        <is>
          <t>Flights</t>
        </is>
      </c>
    </row>
    <row r="37">
      <c r="N37" s="71" t="inlineStr">
        <is>
          <t>0-15 min</t>
        </is>
      </c>
      <c r="O37" s="71" t="n">
        <v>8</v>
      </c>
      <c r="P37" s="71" t="inlineStr">
        <is>
          <t>Completed</t>
        </is>
      </c>
      <c r="Q37" s="71" t="n">
        <v>13</v>
      </c>
      <c r="R37" s="71" t="inlineStr">
        <is>
          <t>Technical Problem</t>
        </is>
      </c>
      <c r="S37" s="71" t="n">
        <v>1</v>
      </c>
    </row>
    <row r="38">
      <c r="N38" s="71" t="inlineStr">
        <is>
          <t>16-30 min</t>
        </is>
      </c>
      <c r="O38" s="71" t="n">
        <v>3</v>
      </c>
      <c r="P38" s="71" t="inlineStr">
        <is>
          <t>Cancelled</t>
        </is>
      </c>
      <c r="Q38" s="71" t="n">
        <v>2</v>
      </c>
      <c r="R38" s="71" t="inlineStr">
        <is>
          <t>Weather</t>
        </is>
      </c>
      <c r="S38" s="71" t="n">
        <v>1</v>
      </c>
    </row>
    <row r="39">
      <c r="N39" s="71" t="inlineStr">
        <is>
          <t>31-60 min</t>
        </is>
      </c>
      <c r="O39" s="71" t="n">
        <v>3</v>
      </c>
      <c r="P39" s="71" t="n"/>
      <c r="Q39" s="71" t="n"/>
      <c r="R39" s="71" t="n"/>
      <c r="S39" s="71" t="n"/>
    </row>
    <row r="40">
      <c r="N40" s="71" t="inlineStr">
        <is>
          <t>61+ min</t>
        </is>
      </c>
      <c r="O40" s="71" t="n">
        <v>1</v>
      </c>
      <c r="P40" s="71" t="n"/>
      <c r="Q40" s="71" t="n"/>
      <c r="R40" s="71" t="n"/>
      <c r="S40" s="71" t="n"/>
    </row>
  </sheetData>
  <mergeCells count="13">
    <mergeCell ref="H9:L9"/>
    <mergeCell ref="H24:L31"/>
    <mergeCell ref="J5:L7"/>
    <mergeCell ref="B5:D7"/>
    <mergeCell ref="F5:H7"/>
    <mergeCell ref="B33:L33"/>
    <mergeCell ref="B4:D4"/>
    <mergeCell ref="B2:L2"/>
    <mergeCell ref="F4:H4"/>
    <mergeCell ref="B23:F23"/>
    <mergeCell ref="J4:L4"/>
    <mergeCell ref="H23:L23"/>
    <mergeCell ref="B9:F9"/>
  </mergeCells>
  <pageMargins left="0.2" right="0.2" top="0.3" bottom="0.3" header="0.5" footer="0.5"/>
  <pageSetup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4B138F"/>
    <outlinePr summaryBelow="1" summaryRight="1"/>
    <pageSetUpPr fitToPage="1"/>
  </sheetPr>
  <dimension ref="A1:S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" customWidth="1" min="13" max="13"/>
  </cols>
  <sheetData>
    <row r="1" ht="22" customHeight="1">
      <c r="A1" s="15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34" customHeight="1">
      <c r="A2" s="15" t="n"/>
      <c r="B2" s="16" t="inlineStr">
        <is>
          <t>ROUTE PERFORMANCE &amp; DELAY ANALYSIS 2026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2" customHeight="1">
      <c r="A4" s="15" t="n"/>
      <c r="B4" s="66" t="inlineStr">
        <is>
          <t>TOTAL ROUTES</t>
        </is>
      </c>
      <c r="E4" s="15" t="n"/>
      <c r="F4" s="66" t="inlineStr">
        <is>
          <t>AVG ROUTE DELAY</t>
        </is>
      </c>
      <c r="I4" s="15" t="n"/>
      <c r="J4" s="66" t="inlineStr">
        <is>
          <t>HIGHEST ROUTE DELAY</t>
        </is>
      </c>
      <c r="M4" s="15" t="n"/>
    </row>
    <row r="5" ht="22" customHeight="1">
      <c r="A5" s="15" t="n"/>
      <c r="B5" s="67" t="n">
        <v>15</v>
      </c>
      <c r="E5" s="15" t="n"/>
      <c r="F5" s="75" t="n">
        <v>23</v>
      </c>
      <c r="I5" s="15" t="n"/>
      <c r="J5" s="85" t="n">
        <v>90</v>
      </c>
      <c r="M5" s="15" t="n"/>
    </row>
    <row r="6" ht="22" customHeight="1">
      <c r="A6" s="15" t="n"/>
      <c r="E6" s="15" t="n"/>
      <c r="I6" s="15" t="n"/>
      <c r="M6" s="15" t="n"/>
    </row>
    <row r="7" ht="22" customHeight="1">
      <c r="A7" s="15" t="n"/>
      <c r="E7" s="15" t="n"/>
      <c r="I7" s="15" t="n"/>
      <c r="M7" s="15" t="n"/>
    </row>
    <row r="8" ht="22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 ht="22" customHeight="1">
      <c r="A9" s="15" t="n"/>
      <c r="B9" s="29" t="inlineStr">
        <is>
          <t>Average Delay by Route</t>
        </is>
      </c>
      <c r="G9" s="15" t="n"/>
      <c r="H9" s="29" t="inlineStr">
        <is>
          <t>Average Delay by Source Airport</t>
        </is>
      </c>
      <c r="M9" s="15" t="n"/>
    </row>
    <row r="10" ht="22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 ht="22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 ht="22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 ht="22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 ht="22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 ht="22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 ht="22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 ht="22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 ht="22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 ht="22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 ht="22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 ht="22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 ht="22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 ht="22" customHeight="1">
      <c r="A23" s="15" t="n"/>
      <c r="B23" s="29" t="inlineStr">
        <is>
          <t>Average Delay by Destination Airport</t>
        </is>
      </c>
      <c r="G23" s="15" t="n"/>
      <c r="H23" s="29" t="inlineStr">
        <is>
          <t>Route Performance Highlights</t>
        </is>
      </c>
      <c r="M23" s="15" t="n"/>
    </row>
    <row r="24" ht="22" customHeight="1">
      <c r="A24" s="15" t="n"/>
      <c r="B24" s="15" t="n"/>
      <c r="C24" s="15" t="n"/>
      <c r="D24" s="15" t="n"/>
      <c r="E24" s="15" t="n"/>
      <c r="F24" s="15" t="n"/>
      <c r="G24" s="15" t="n"/>
      <c r="H24" s="76" t="inlineStr">
        <is>
          <t>• Highest Delay Route: HYD → DEL (90 min)
• Lowest Delay Route: BOM → BLR (0 min)
• Routes Analyzed: 15
• Highest Avg Source Delay: HYD (60.0 min)
• Highest Avg Destination Delay: CCU (37.5 min)
• Overall Route Avg Delay: 23.0 min</t>
        </is>
      </c>
      <c r="I24" s="77" t="n"/>
      <c r="J24" s="77" t="n"/>
      <c r="K24" s="77" t="n"/>
      <c r="L24" s="78" t="n"/>
      <c r="M24" s="15" t="n"/>
    </row>
    <row r="25" ht="22" customHeight="1">
      <c r="A25" s="15" t="n"/>
      <c r="B25" s="15" t="n"/>
      <c r="C25" s="15" t="n"/>
      <c r="D25" s="15" t="n"/>
      <c r="E25" s="15" t="n"/>
      <c r="F25" s="15" t="n"/>
      <c r="G25" s="15" t="n"/>
      <c r="H25" s="79" t="n"/>
      <c r="I25" s="80" t="n"/>
      <c r="J25" s="80" t="n"/>
      <c r="K25" s="80" t="n"/>
      <c r="L25" s="81" t="n"/>
      <c r="M25" s="15" t="n"/>
    </row>
    <row r="26" ht="22" customHeight="1">
      <c r="A26" s="15" t="n"/>
      <c r="B26" s="15" t="n"/>
      <c r="C26" s="15" t="n"/>
      <c r="D26" s="15" t="n"/>
      <c r="E26" s="15" t="n"/>
      <c r="F26" s="15" t="n"/>
      <c r="G26" s="15" t="n"/>
      <c r="H26" s="79" t="n"/>
      <c r="I26" s="80" t="n"/>
      <c r="J26" s="80" t="n"/>
      <c r="K26" s="80" t="n"/>
      <c r="L26" s="81" t="n"/>
      <c r="M26" s="15" t="n"/>
    </row>
    <row r="27" ht="22" customHeight="1">
      <c r="A27" s="15" t="n"/>
      <c r="B27" s="15" t="n"/>
      <c r="C27" s="15" t="n"/>
      <c r="D27" s="15" t="n"/>
      <c r="E27" s="15" t="n"/>
      <c r="F27" s="15" t="n"/>
      <c r="G27" s="15" t="n"/>
      <c r="H27" s="79" t="n"/>
      <c r="I27" s="80" t="n"/>
      <c r="J27" s="80" t="n"/>
      <c r="K27" s="80" t="n"/>
      <c r="L27" s="81" t="n"/>
      <c r="M27" s="15" t="n"/>
    </row>
    <row r="28" ht="22" customHeight="1">
      <c r="A28" s="15" t="n"/>
      <c r="B28" s="15" t="n"/>
      <c r="C28" s="15" t="n"/>
      <c r="D28" s="15" t="n"/>
      <c r="E28" s="15" t="n"/>
      <c r="F28" s="15" t="n"/>
      <c r="G28" s="15" t="n"/>
      <c r="H28" s="79" t="n"/>
      <c r="I28" s="80" t="n"/>
      <c r="J28" s="80" t="n"/>
      <c r="K28" s="80" t="n"/>
      <c r="L28" s="81" t="n"/>
      <c r="M28" s="15" t="n"/>
    </row>
    <row r="29" ht="22" customHeight="1">
      <c r="A29" s="15" t="n"/>
      <c r="B29" s="15" t="n"/>
      <c r="C29" s="15" t="n"/>
      <c r="D29" s="15" t="n"/>
      <c r="E29" s="15" t="n"/>
      <c r="F29" s="15" t="n"/>
      <c r="G29" s="15" t="n"/>
      <c r="H29" s="79" t="n"/>
      <c r="I29" s="80" t="n"/>
      <c r="J29" s="80" t="n"/>
      <c r="K29" s="80" t="n"/>
      <c r="L29" s="81" t="n"/>
      <c r="M29" s="15" t="n"/>
    </row>
    <row r="30" ht="22" customHeight="1">
      <c r="A30" s="15" t="n"/>
      <c r="B30" s="15" t="n"/>
      <c r="C30" s="15" t="n"/>
      <c r="D30" s="15" t="n"/>
      <c r="E30" s="15" t="n"/>
      <c r="F30" s="15" t="n"/>
      <c r="G30" s="15" t="n"/>
      <c r="H30" s="79" t="n"/>
      <c r="I30" s="80" t="n"/>
      <c r="J30" s="80" t="n"/>
      <c r="K30" s="80" t="n"/>
      <c r="L30" s="81" t="n"/>
      <c r="M30" s="15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82" t="n"/>
      <c r="I31" s="83" t="n"/>
      <c r="J31" s="83" t="n"/>
      <c r="K31" s="83" t="n"/>
      <c r="L31" s="84" t="n"/>
      <c r="M31" s="15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 ht="22" customHeight="1">
      <c r="A33" s="15" t="n"/>
      <c r="B33" s="40" t="inlineStr">
        <is>
          <t>Source: All values calculated from the uploaded Excel workbook data.</t>
        </is>
      </c>
      <c r="M33" s="15" t="n"/>
    </row>
    <row r="34" ht="22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 ht="22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N36" s="71" t="inlineStr">
        <is>
          <t>Route</t>
        </is>
      </c>
      <c r="O36" s="71" t="inlineStr">
        <is>
          <t>Avg Delay</t>
        </is>
      </c>
      <c r="P36" s="71" t="inlineStr">
        <is>
          <t>Source</t>
        </is>
      </c>
      <c r="Q36" s="71" t="inlineStr">
        <is>
          <t>Avg Delay</t>
        </is>
      </c>
      <c r="R36" s="71" t="inlineStr">
        <is>
          <t>Destination</t>
        </is>
      </c>
      <c r="S36" s="71" t="inlineStr">
        <is>
          <t>Avg Delay</t>
        </is>
      </c>
    </row>
    <row r="37">
      <c r="N37" s="71" t="inlineStr">
        <is>
          <t>HYD → DEL</t>
        </is>
      </c>
      <c r="O37" s="71" t="n">
        <v>90</v>
      </c>
      <c r="P37" s="71" t="inlineStr">
        <is>
          <t>HYD</t>
        </is>
      </c>
      <c r="Q37" s="71" t="n">
        <v>60</v>
      </c>
      <c r="R37" s="71" t="inlineStr">
        <is>
          <t>CCU</t>
        </is>
      </c>
      <c r="S37" s="71" t="n">
        <v>37.5</v>
      </c>
    </row>
    <row r="38">
      <c r="N38" s="71" t="inlineStr">
        <is>
          <t>BOM → CCU</t>
        </is>
      </c>
      <c r="O38" s="71" t="n">
        <v>50</v>
      </c>
      <c r="P38" s="71" t="inlineStr">
        <is>
          <t>BOM</t>
        </is>
      </c>
      <c r="Q38" s="71" t="n">
        <v>31.66666666666667</v>
      </c>
      <c r="R38" s="71" t="inlineStr">
        <is>
          <t>DEL</t>
        </is>
      </c>
      <c r="S38" s="71" t="n">
        <v>30</v>
      </c>
    </row>
    <row r="39">
      <c r="N39" s="71" t="inlineStr">
        <is>
          <t>BOM → DEL</t>
        </is>
      </c>
      <c r="O39" s="71" t="n">
        <v>45</v>
      </c>
      <c r="P39" s="71" t="inlineStr">
        <is>
          <t>DEL</t>
        </is>
      </c>
      <c r="Q39" s="71" t="n">
        <v>15</v>
      </c>
      <c r="R39" s="71" t="inlineStr">
        <is>
          <t>HYD</t>
        </is>
      </c>
      <c r="S39" s="71" t="n">
        <v>27.5</v>
      </c>
    </row>
    <row r="40">
      <c r="N40" s="71" t="inlineStr">
        <is>
          <t>BLR → HYD</t>
        </is>
      </c>
      <c r="O40" s="71" t="n">
        <v>40</v>
      </c>
      <c r="P40" s="71" t="inlineStr">
        <is>
          <t>BLR</t>
        </is>
      </c>
      <c r="Q40" s="71" t="n">
        <v>13.33333333333333</v>
      </c>
      <c r="R40" s="71" t="inlineStr">
        <is>
          <t>BOM</t>
        </is>
      </c>
      <c r="S40" s="71" t="n">
        <v>16.66666666666667</v>
      </c>
    </row>
    <row r="41">
      <c r="N41" s="71" t="inlineStr">
        <is>
          <t>HYD → BOM</t>
        </is>
      </c>
      <c r="O41" s="71" t="n">
        <v>30</v>
      </c>
      <c r="P41" s="71" t="inlineStr">
        <is>
          <t>CCU</t>
        </is>
      </c>
      <c r="Q41" s="71" t="n">
        <v>10</v>
      </c>
      <c r="R41" s="71" t="inlineStr">
        <is>
          <t>DXB</t>
        </is>
      </c>
      <c r="S41" s="71" t="n">
        <v>10</v>
      </c>
    </row>
    <row r="42">
      <c r="N42" s="71" t="inlineStr">
        <is>
          <t>DEL → CCU</t>
        </is>
      </c>
      <c r="O42" s="71" t="n">
        <v>25</v>
      </c>
      <c r="P42" s="71" t="inlineStr">
        <is>
          <t>DXB</t>
        </is>
      </c>
      <c r="Q42" s="71" t="n">
        <v>5</v>
      </c>
      <c r="R42" s="71" t="inlineStr">
        <is>
          <t>BLR</t>
        </is>
      </c>
      <c r="S42" s="71" t="n">
        <v>2.5</v>
      </c>
    </row>
    <row r="43">
      <c r="N43" s="71" t="inlineStr">
        <is>
          <t>DEL → BOM</t>
        </is>
      </c>
      <c r="O43" s="71" t="n">
        <v>20</v>
      </c>
      <c r="P43" s="71" t="n"/>
      <c r="Q43" s="71" t="n"/>
      <c r="R43" s="71" t="n"/>
      <c r="S43" s="71" t="n"/>
    </row>
    <row r="44">
      <c r="N44" s="71" t="inlineStr">
        <is>
          <t>DEL → HYD</t>
        </is>
      </c>
      <c r="O44" s="71" t="n">
        <v>15</v>
      </c>
      <c r="P44" s="71" t="n"/>
      <c r="Q44" s="71" t="n"/>
      <c r="R44" s="71" t="n"/>
      <c r="S44" s="71" t="n"/>
    </row>
    <row r="45">
      <c r="N45" s="71" t="inlineStr">
        <is>
          <t>DEL → DXB</t>
        </is>
      </c>
      <c r="O45" s="71" t="n">
        <v>10</v>
      </c>
      <c r="P45" s="71" t="n"/>
      <c r="Q45" s="71" t="n"/>
      <c r="R45" s="71" t="n"/>
      <c r="S45" s="71" t="n"/>
    </row>
    <row r="46">
      <c r="N46" s="71" t="inlineStr">
        <is>
          <t>CCU → DEL</t>
        </is>
      </c>
      <c r="O46" s="71" t="n">
        <v>10</v>
      </c>
      <c r="P46" s="71" t="n"/>
      <c r="Q46" s="71" t="n"/>
      <c r="R46" s="71" t="n"/>
      <c r="S46" s="71" t="n"/>
    </row>
    <row r="47">
      <c r="N47" s="71" t="inlineStr">
        <is>
          <t>DEL → BLR</t>
        </is>
      </c>
      <c r="O47" s="71" t="n">
        <v>5</v>
      </c>
      <c r="P47" s="71" t="n"/>
      <c r="Q47" s="71" t="n"/>
      <c r="R47" s="71" t="n"/>
      <c r="S47" s="71" t="n"/>
    </row>
    <row r="48">
      <c r="N48" s="71" t="inlineStr">
        <is>
          <t>DXB → DEL</t>
        </is>
      </c>
      <c r="O48" s="71" t="n">
        <v>5</v>
      </c>
      <c r="P48" s="71" t="n"/>
      <c r="Q48" s="71" t="n"/>
      <c r="R48" s="71" t="n"/>
      <c r="S48" s="71" t="n"/>
    </row>
    <row r="49">
      <c r="N49" s="71" t="inlineStr">
        <is>
          <t>BOM → BLR</t>
        </is>
      </c>
      <c r="O49" s="71" t="n">
        <v>0</v>
      </c>
      <c r="P49" s="71" t="n"/>
      <c r="Q49" s="71" t="n"/>
      <c r="R49" s="71" t="n"/>
      <c r="S49" s="71" t="n"/>
    </row>
    <row r="50">
      <c r="N50" s="71" t="inlineStr">
        <is>
          <t>BLR → DEL</t>
        </is>
      </c>
      <c r="O50" s="71" t="n">
        <v>0</v>
      </c>
      <c r="P50" s="71" t="n"/>
      <c r="Q50" s="71" t="n"/>
      <c r="R50" s="71" t="n"/>
      <c r="S50" s="71" t="n"/>
    </row>
    <row r="51">
      <c r="N51" s="71" t="inlineStr">
        <is>
          <t>BLR → BOM</t>
        </is>
      </c>
      <c r="O51" s="71" t="n">
        <v>0</v>
      </c>
      <c r="P51" s="71" t="n"/>
      <c r="Q51" s="71" t="n"/>
      <c r="R51" s="71" t="n"/>
      <c r="S51" s="71" t="n"/>
    </row>
    <row r="52">
      <c r="N52" s="71" t="n"/>
      <c r="O52" s="71" t="n"/>
      <c r="P52" s="71" t="n"/>
      <c r="Q52" s="71" t="n"/>
      <c r="R52" s="71" t="n"/>
      <c r="S52" s="71" t="n"/>
    </row>
  </sheetData>
  <mergeCells count="13">
    <mergeCell ref="H9:L9"/>
    <mergeCell ref="H24:L31"/>
    <mergeCell ref="J5:L7"/>
    <mergeCell ref="B5:D7"/>
    <mergeCell ref="F5:H7"/>
    <mergeCell ref="B33:L33"/>
    <mergeCell ref="B4:D4"/>
    <mergeCell ref="B2:L2"/>
    <mergeCell ref="F4:H4"/>
    <mergeCell ref="B23:F23"/>
    <mergeCell ref="J4:L4"/>
    <mergeCell ref="H23:L23"/>
    <mergeCell ref="B9:F9"/>
  </mergeCells>
  <pageMargins left="0.2" right="0.2" top="0.3" bottom="0.3" header="0.5" footer="0.5"/>
  <pageSetup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B138F"/>
    <outlinePr summaryBelow="1" summaryRight="1"/>
    <pageSetUpPr fitToPage="1"/>
  </sheetPr>
  <dimension ref="A1:S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" customWidth="1" min="13" max="13"/>
  </cols>
  <sheetData>
    <row r="1" ht="22" customHeight="1">
      <c r="A1" s="15" t="n"/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 ht="34" customHeight="1">
      <c r="A2" s="15" t="n"/>
      <c r="B2" s="16" t="inlineStr">
        <is>
          <t>AIRPORT NETWORK &amp; CANCELLATION DASHBOARD 2026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</row>
    <row r="3" ht="22" customHeight="1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</row>
    <row r="4" ht="22" customHeight="1">
      <c r="A4" s="15" t="n"/>
      <c r="B4" s="66" t="inlineStr">
        <is>
          <t>AIRPORTS</t>
        </is>
      </c>
      <c r="E4" s="15" t="n"/>
      <c r="F4" s="66" t="inlineStr">
        <is>
          <t>COUNTRIES</t>
        </is>
      </c>
      <c r="I4" s="15" t="n"/>
      <c r="J4" s="66" t="inlineStr">
        <is>
          <t>CANCELLATIONS</t>
        </is>
      </c>
      <c r="M4" s="15" t="n"/>
    </row>
    <row r="5" ht="22" customHeight="1">
      <c r="A5" s="15" t="n"/>
      <c r="B5" s="67" t="n">
        <v>6</v>
      </c>
      <c r="E5" s="15" t="n"/>
      <c r="F5" s="67" t="n">
        <v>2</v>
      </c>
      <c r="I5" s="15" t="n"/>
      <c r="J5" s="67" t="n">
        <v>2</v>
      </c>
      <c r="M5" s="15" t="n"/>
    </row>
    <row r="6" ht="22" customHeight="1">
      <c r="A6" s="15" t="n"/>
      <c r="E6" s="15" t="n"/>
      <c r="I6" s="15" t="n"/>
      <c r="M6" s="15" t="n"/>
    </row>
    <row r="7" ht="22" customHeight="1">
      <c r="A7" s="15" t="n"/>
      <c r="E7" s="15" t="n"/>
      <c r="I7" s="15" t="n"/>
      <c r="M7" s="15" t="n"/>
    </row>
    <row r="8" ht="22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 ht="22" customHeight="1">
      <c r="A9" s="15" t="n"/>
      <c r="B9" s="29" t="inlineStr">
        <is>
          <t>Airport Network by City</t>
        </is>
      </c>
      <c r="G9" s="15" t="n"/>
      <c r="H9" s="29" t="inlineStr">
        <is>
          <t>Cancellation by Airline</t>
        </is>
      </c>
      <c r="M9" s="15" t="n"/>
    </row>
    <row r="10" ht="22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 ht="22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 ht="22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 ht="22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 ht="22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 ht="22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 ht="22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 ht="22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 ht="22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 ht="22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 ht="22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 ht="22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 ht="22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 ht="22" customHeight="1">
      <c r="A23" s="15" t="n"/>
      <c r="B23" s="29" t="inlineStr">
        <is>
          <t>Cancellation Reasons</t>
        </is>
      </c>
      <c r="G23" s="15" t="n"/>
      <c r="H23" s="29" t="inlineStr">
        <is>
          <t>Airport &amp; Cancellation Highlights</t>
        </is>
      </c>
      <c r="M23" s="15" t="n"/>
    </row>
    <row r="24" ht="22" customHeight="1">
      <c r="A24" s="15" t="n"/>
      <c r="B24" s="15" t="n"/>
      <c r="C24" s="15" t="n"/>
      <c r="D24" s="15" t="n"/>
      <c r="E24" s="15" t="n"/>
      <c r="F24" s="15" t="n"/>
      <c r="G24" s="15" t="n"/>
      <c r="H24" s="76" t="inlineStr">
        <is>
          <t>• Airports in Network: 6
• Countries Represented: India, UAE
• Most Connected Airport: DEL (10 movements)
• Cancelled Flights: 2 (13.3% of flights)
• Airlines with Cancellations: Air India, SpiceJet
• Reasons: Technical Problem, Weather</t>
        </is>
      </c>
      <c r="I24" s="77" t="n"/>
      <c r="J24" s="77" t="n"/>
      <c r="K24" s="77" t="n"/>
      <c r="L24" s="78" t="n"/>
      <c r="M24" s="15" t="n"/>
    </row>
    <row r="25" ht="22" customHeight="1">
      <c r="A25" s="15" t="n"/>
      <c r="B25" s="15" t="n"/>
      <c r="C25" s="15" t="n"/>
      <c r="D25" s="15" t="n"/>
      <c r="E25" s="15" t="n"/>
      <c r="F25" s="15" t="n"/>
      <c r="G25" s="15" t="n"/>
      <c r="H25" s="79" t="n"/>
      <c r="I25" s="80" t="n"/>
      <c r="J25" s="80" t="n"/>
      <c r="K25" s="80" t="n"/>
      <c r="L25" s="81" t="n"/>
      <c r="M25" s="15" t="n"/>
    </row>
    <row r="26" ht="22" customHeight="1">
      <c r="A26" s="15" t="n"/>
      <c r="B26" s="15" t="n"/>
      <c r="C26" s="15" t="n"/>
      <c r="D26" s="15" t="n"/>
      <c r="E26" s="15" t="n"/>
      <c r="F26" s="15" t="n"/>
      <c r="G26" s="15" t="n"/>
      <c r="H26" s="79" t="n"/>
      <c r="I26" s="80" t="n"/>
      <c r="J26" s="80" t="n"/>
      <c r="K26" s="80" t="n"/>
      <c r="L26" s="81" t="n"/>
      <c r="M26" s="15" t="n"/>
    </row>
    <row r="27" ht="22" customHeight="1">
      <c r="A27" s="15" t="n"/>
      <c r="B27" s="15" t="n"/>
      <c r="C27" s="15" t="n"/>
      <c r="D27" s="15" t="n"/>
      <c r="E27" s="15" t="n"/>
      <c r="F27" s="15" t="n"/>
      <c r="G27" s="15" t="n"/>
      <c r="H27" s="79" t="n"/>
      <c r="I27" s="80" t="n"/>
      <c r="J27" s="80" t="n"/>
      <c r="K27" s="80" t="n"/>
      <c r="L27" s="81" t="n"/>
      <c r="M27" s="15" t="n"/>
    </row>
    <row r="28" ht="22" customHeight="1">
      <c r="A28" s="15" t="n"/>
      <c r="B28" s="15" t="n"/>
      <c r="C28" s="15" t="n"/>
      <c r="D28" s="15" t="n"/>
      <c r="E28" s="15" t="n"/>
      <c r="F28" s="15" t="n"/>
      <c r="G28" s="15" t="n"/>
      <c r="H28" s="79" t="n"/>
      <c r="I28" s="80" t="n"/>
      <c r="J28" s="80" t="n"/>
      <c r="K28" s="80" t="n"/>
      <c r="L28" s="81" t="n"/>
      <c r="M28" s="15" t="n"/>
    </row>
    <row r="29" ht="22" customHeight="1">
      <c r="A29" s="15" t="n"/>
      <c r="B29" s="15" t="n"/>
      <c r="C29" s="15" t="n"/>
      <c r="D29" s="15" t="n"/>
      <c r="E29" s="15" t="n"/>
      <c r="F29" s="15" t="n"/>
      <c r="G29" s="15" t="n"/>
      <c r="H29" s="79" t="n"/>
      <c r="I29" s="80" t="n"/>
      <c r="J29" s="80" t="n"/>
      <c r="K29" s="80" t="n"/>
      <c r="L29" s="81" t="n"/>
      <c r="M29" s="15" t="n"/>
    </row>
    <row r="30" ht="22" customHeight="1">
      <c r="A30" s="15" t="n"/>
      <c r="B30" s="15" t="n"/>
      <c r="C30" s="15" t="n"/>
      <c r="D30" s="15" t="n"/>
      <c r="E30" s="15" t="n"/>
      <c r="F30" s="15" t="n"/>
      <c r="G30" s="15" t="n"/>
      <c r="H30" s="79" t="n"/>
      <c r="I30" s="80" t="n"/>
      <c r="J30" s="80" t="n"/>
      <c r="K30" s="80" t="n"/>
      <c r="L30" s="81" t="n"/>
      <c r="M30" s="15" t="n"/>
    </row>
    <row r="31" ht="22" customHeight="1">
      <c r="A31" s="15" t="n"/>
      <c r="B31" s="15" t="n"/>
      <c r="C31" s="15" t="n"/>
      <c r="D31" s="15" t="n"/>
      <c r="E31" s="15" t="n"/>
      <c r="F31" s="15" t="n"/>
      <c r="G31" s="15" t="n"/>
      <c r="H31" s="82" t="n"/>
      <c r="I31" s="83" t="n"/>
      <c r="J31" s="83" t="n"/>
      <c r="K31" s="83" t="n"/>
      <c r="L31" s="84" t="n"/>
      <c r="M31" s="15" t="n"/>
    </row>
    <row r="32" ht="22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 ht="22" customHeight="1">
      <c r="A33" s="15" t="n"/>
      <c r="B33" s="40" t="inlineStr">
        <is>
          <t>Source: All values calculated from the uploaded Excel workbook data.</t>
        </is>
      </c>
      <c r="M33" s="15" t="n"/>
    </row>
    <row r="34" ht="22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 ht="22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N36" s="71" t="inlineStr">
        <is>
          <t>Airport</t>
        </is>
      </c>
      <c r="O36" s="71" t="inlineStr">
        <is>
          <t>Flights</t>
        </is>
      </c>
      <c r="P36" s="71" t="inlineStr">
        <is>
          <t>Airline</t>
        </is>
      </c>
      <c r="Q36" s="71" t="inlineStr">
        <is>
          <t>Cancellations</t>
        </is>
      </c>
      <c r="R36" s="71" t="inlineStr">
        <is>
          <t>Reason</t>
        </is>
      </c>
      <c r="S36" s="71" t="inlineStr">
        <is>
          <t>Cancellations</t>
        </is>
      </c>
    </row>
    <row r="37">
      <c r="N37" s="71" t="inlineStr">
        <is>
          <t>DEL</t>
        </is>
      </c>
      <c r="O37" s="71" t="n">
        <v>10</v>
      </c>
      <c r="P37" s="71" t="inlineStr">
        <is>
          <t>Air India</t>
        </is>
      </c>
      <c r="Q37" s="71" t="n">
        <v>1</v>
      </c>
      <c r="R37" s="71" t="inlineStr">
        <is>
          <t>Technical Problem</t>
        </is>
      </c>
      <c r="S37" s="71" t="n">
        <v>1</v>
      </c>
    </row>
    <row r="38">
      <c r="N38" s="71" t="inlineStr">
        <is>
          <t>BOM</t>
        </is>
      </c>
      <c r="O38" s="71" t="n">
        <v>6</v>
      </c>
      <c r="P38" s="71" t="inlineStr">
        <is>
          <t>SpiceJet</t>
        </is>
      </c>
      <c r="Q38" s="71" t="n">
        <v>1</v>
      </c>
      <c r="R38" s="71" t="inlineStr">
        <is>
          <t>Weather</t>
        </is>
      </c>
      <c r="S38" s="71" t="n">
        <v>1</v>
      </c>
    </row>
    <row r="39">
      <c r="N39" s="71" t="inlineStr">
        <is>
          <t>BLR</t>
        </is>
      </c>
      <c r="O39" s="71" t="n">
        <v>5</v>
      </c>
      <c r="P39" s="71" t="n"/>
      <c r="Q39" s="71" t="n"/>
      <c r="R39" s="71" t="n"/>
      <c r="S39" s="71" t="n"/>
    </row>
    <row r="40">
      <c r="N40" s="71" t="inlineStr">
        <is>
          <t>HYD</t>
        </is>
      </c>
      <c r="O40" s="71" t="n">
        <v>4</v>
      </c>
      <c r="P40" s="71" t="n"/>
      <c r="Q40" s="71" t="n"/>
      <c r="R40" s="71" t="n"/>
      <c r="S40" s="71" t="n"/>
    </row>
    <row r="41">
      <c r="N41" s="71" t="inlineStr">
        <is>
          <t>CCU</t>
        </is>
      </c>
      <c r="O41" s="71" t="n">
        <v>3</v>
      </c>
      <c r="P41" s="71" t="n"/>
      <c r="Q41" s="71" t="n"/>
      <c r="R41" s="71" t="n"/>
      <c r="S41" s="71" t="n"/>
    </row>
    <row r="42">
      <c r="N42" s="71" t="inlineStr">
        <is>
          <t>DXB</t>
        </is>
      </c>
      <c r="O42" s="71" t="n">
        <v>2</v>
      </c>
      <c r="P42" s="71" t="n"/>
      <c r="Q42" s="71" t="n"/>
      <c r="R42" s="71" t="n"/>
      <c r="S42" s="71" t="n"/>
    </row>
    <row r="43">
      <c r="N43" s="71" t="n"/>
      <c r="O43" s="71" t="n"/>
      <c r="P43" s="71" t="n"/>
      <c r="Q43" s="71" t="n"/>
      <c r="R43" s="71" t="n"/>
      <c r="S43" s="71" t="n"/>
    </row>
  </sheetData>
  <mergeCells count="13">
    <mergeCell ref="H9:L9"/>
    <mergeCell ref="H24:L31"/>
    <mergeCell ref="J5:L7"/>
    <mergeCell ref="B5:D7"/>
    <mergeCell ref="F5:H7"/>
    <mergeCell ref="B33:L33"/>
    <mergeCell ref="B4:D4"/>
    <mergeCell ref="B2:L2"/>
    <mergeCell ref="F4:H4"/>
    <mergeCell ref="B23:F23"/>
    <mergeCell ref="J4:L4"/>
    <mergeCell ref="H23:L23"/>
    <mergeCell ref="B9:F9"/>
  </mergeCells>
  <pageMargins left="0.2" right="0.2" top="0.3" bottom="0.3" header="0.5" footer="0.5"/>
  <pageSetup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4" customWidth="1" min="4" max="4"/>
  </cols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Total Flights</t>
        </is>
      </c>
      <c r="D1" s="1" t="inlineStr">
        <is>
          <t>Average Delay (min)</t>
        </is>
      </c>
    </row>
    <row r="2">
      <c r="A2" s="2" t="inlineStr">
        <is>
          <t>DEL</t>
        </is>
      </c>
      <c r="B2" s="2" t="inlineStr">
        <is>
          <t>BOM</t>
        </is>
      </c>
      <c r="C2" s="2" t="n">
        <v>1</v>
      </c>
      <c r="D2" s="2" t="n">
        <v>20</v>
      </c>
    </row>
    <row r="3">
      <c r="A3" s="2" t="inlineStr">
        <is>
          <t>BOM</t>
        </is>
      </c>
      <c r="B3" s="2" t="inlineStr">
        <is>
          <t>DEL</t>
        </is>
      </c>
      <c r="C3" s="2" t="n">
        <v>1</v>
      </c>
      <c r="D3" s="2" t="n">
        <v>45</v>
      </c>
    </row>
    <row r="4">
      <c r="A4" s="2" t="inlineStr">
        <is>
          <t>DEL</t>
        </is>
      </c>
      <c r="B4" s="2" t="inlineStr">
        <is>
          <t>BLR</t>
        </is>
      </c>
      <c r="C4" s="2" t="n">
        <v>1</v>
      </c>
      <c r="D4" s="2" t="n">
        <v>5</v>
      </c>
    </row>
    <row r="5">
      <c r="A5" s="2" t="inlineStr">
        <is>
          <t>BLR</t>
        </is>
      </c>
      <c r="B5" s="2" t="inlineStr">
        <is>
          <t>HYD</t>
        </is>
      </c>
      <c r="C5" s="2" t="n">
        <v>1</v>
      </c>
      <c r="D5" s="2" t="n">
        <v>40</v>
      </c>
    </row>
    <row r="6">
      <c r="A6" s="2" t="inlineStr">
        <is>
          <t>DEL</t>
        </is>
      </c>
      <c r="B6" s="2" t="inlineStr">
        <is>
          <t>DXB</t>
        </is>
      </c>
      <c r="C6" s="2" t="n">
        <v>1</v>
      </c>
      <c r="D6" s="2" t="n">
        <v>10</v>
      </c>
    </row>
    <row r="7">
      <c r="A7" s="2" t="inlineStr">
        <is>
          <t>BOM</t>
        </is>
      </c>
      <c r="B7" s="2" t="inlineStr">
        <is>
          <t>BLR</t>
        </is>
      </c>
      <c r="C7" s="2" t="n">
        <v>1</v>
      </c>
      <c r="D7" s="2" t="n">
        <v>0</v>
      </c>
    </row>
    <row r="8">
      <c r="A8" s="2" t="inlineStr">
        <is>
          <t>BLR</t>
        </is>
      </c>
      <c r="B8" s="2" t="inlineStr">
        <is>
          <t>DEL</t>
        </is>
      </c>
      <c r="C8" s="2" t="n">
        <v>1</v>
      </c>
      <c r="D8" s="2" t="n">
        <v>0</v>
      </c>
    </row>
    <row r="9">
      <c r="A9" s="2" t="inlineStr">
        <is>
          <t>HYD</t>
        </is>
      </c>
      <c r="B9" s="2" t="inlineStr">
        <is>
          <t>DEL</t>
        </is>
      </c>
      <c r="C9" s="2" t="n">
        <v>1</v>
      </c>
      <c r="D9" s="2" t="n">
        <v>90</v>
      </c>
    </row>
    <row r="10">
      <c r="A10" s="2" t="inlineStr">
        <is>
          <t>DEL</t>
        </is>
      </c>
      <c r="B10" s="2" t="inlineStr">
        <is>
          <t>CCU</t>
        </is>
      </c>
      <c r="C10" s="2" t="n">
        <v>1</v>
      </c>
      <c r="D10" s="2" t="n">
        <v>25</v>
      </c>
    </row>
    <row r="11">
      <c r="A11" s="2" t="inlineStr">
        <is>
          <t>DXB</t>
        </is>
      </c>
      <c r="B11" s="2" t="inlineStr">
        <is>
          <t>DEL</t>
        </is>
      </c>
      <c r="C11" s="2" t="n">
        <v>1</v>
      </c>
      <c r="D11" s="2" t="n">
        <v>5</v>
      </c>
    </row>
    <row r="12">
      <c r="A12" s="2" t="inlineStr">
        <is>
          <t>DEL</t>
        </is>
      </c>
      <c r="B12" s="2" t="inlineStr">
        <is>
          <t>HYD</t>
        </is>
      </c>
      <c r="C12" s="2" t="n">
        <v>1</v>
      </c>
      <c r="D12" s="2" t="n">
        <v>15</v>
      </c>
    </row>
    <row r="13">
      <c r="A13" s="2" t="inlineStr">
        <is>
          <t>BOM</t>
        </is>
      </c>
      <c r="B13" s="2" t="inlineStr">
        <is>
          <t>CCU</t>
        </is>
      </c>
      <c r="C13" s="2" t="n">
        <v>1</v>
      </c>
      <c r="D13" s="2" t="n">
        <v>50</v>
      </c>
    </row>
    <row r="14">
      <c r="A14" s="2" t="inlineStr">
        <is>
          <t>BLR</t>
        </is>
      </c>
      <c r="B14" s="2" t="inlineStr">
        <is>
          <t>BOM</t>
        </is>
      </c>
      <c r="C14" s="2" t="n">
        <v>1</v>
      </c>
      <c r="D14" s="2" t="n">
        <v>0</v>
      </c>
    </row>
    <row r="15">
      <c r="A15" s="2" t="inlineStr">
        <is>
          <t>CCU</t>
        </is>
      </c>
      <c r="B15" s="2" t="inlineStr">
        <is>
          <t>DEL</t>
        </is>
      </c>
      <c r="C15" s="2" t="n">
        <v>1</v>
      </c>
      <c r="D15" s="2" t="n">
        <v>10</v>
      </c>
    </row>
    <row r="16">
      <c r="A16" s="2" t="inlineStr">
        <is>
          <t>HYD</t>
        </is>
      </c>
      <c r="B16" s="2" t="inlineStr">
        <is>
          <t>BOM</t>
        </is>
      </c>
      <c r="C16" s="2" t="n">
        <v>1</v>
      </c>
      <c r="D16" s="2" t="n">
        <v>30</v>
      </c>
    </row>
  </sheetData>
  <autoFilter ref="A1:D16"/>
  <conditionalFormatting sqref="D2:D1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L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3" customWidth="1" min="5" max="5"/>
    <col width="15" customWidth="1" min="6" max="6"/>
    <col width="15" customWidth="1" min="7" max="7"/>
    <col width="15" customWidth="1" min="8" max="8"/>
    <col width="3" customWidth="1" min="9" max="9"/>
    <col width="15" customWidth="1" min="10" max="10"/>
    <col width="15" customWidth="1" min="11" max="11"/>
    <col width="15" customWidth="1" min="12" max="12"/>
    <col width="3" customWidth="1" min="13" max="13"/>
  </cols>
  <sheetData>
    <row r="2">
      <c r="B2" s="3" t="inlineStr">
        <is>
          <t>EXECUTIVE FLIGHT DELAY DASHBOARD 2026</t>
        </is>
      </c>
    </row>
    <row r="3"/>
    <row r="5">
      <c r="B5" s="4" t="inlineStr">
        <is>
          <t>TOTAL FLIGHTS</t>
        </is>
      </c>
      <c r="C5" s="42" t="n"/>
      <c r="D5" s="43" t="n"/>
      <c r="F5" s="6" t="inlineStr">
        <is>
          <t>AVG DELAY (MIN)</t>
        </is>
      </c>
      <c r="G5" s="44" t="n"/>
      <c r="H5" s="45" t="n"/>
      <c r="J5" s="8" t="inlineStr">
        <is>
          <t>MAX DELAY (MIN)</t>
        </is>
      </c>
      <c r="K5" s="46" t="n"/>
      <c r="L5" s="47" t="n"/>
    </row>
    <row r="6">
      <c r="B6" s="10">
        <f>SUM('Flight Data'!C2:C16)</f>
        <v/>
      </c>
      <c r="C6" s="48" t="n"/>
      <c r="D6" s="49" t="n"/>
      <c r="F6" s="11">
        <f>AVERAGE('Flight Data'!D2:D16)</f>
        <v/>
      </c>
      <c r="G6" s="50" t="n"/>
      <c r="H6" s="51" t="n"/>
      <c r="J6" s="12">
        <f>MAX('Flight Data'!D2:D16)</f>
        <v/>
      </c>
      <c r="K6" s="52" t="n"/>
      <c r="L6" s="53" t="n"/>
    </row>
    <row r="7">
      <c r="B7" s="54" t="n"/>
      <c r="C7" s="55" t="n"/>
      <c r="D7" s="56" t="n"/>
      <c r="F7" s="57" t="n"/>
      <c r="G7" s="58" t="n"/>
      <c r="H7" s="59" t="n"/>
      <c r="J7" s="60" t="n"/>
      <c r="K7" s="61" t="n"/>
      <c r="L7" s="62" t="n"/>
    </row>
    <row r="22">
      <c r="B22" s="13" t="inlineStr">
        <is>
          <t>Route</t>
        </is>
      </c>
      <c r="C22" s="13" t="inlineStr">
        <is>
          <t>Flights</t>
        </is>
      </c>
      <c r="D22" s="13" t="inlineStr">
        <is>
          <t>Avg Delay</t>
        </is>
      </c>
      <c r="F22" s="13" t="inlineStr">
        <is>
          <t>Source</t>
        </is>
      </c>
      <c r="G22" s="13" t="inlineStr">
        <is>
          <t>Flights</t>
        </is>
      </c>
      <c r="H22" s="13" t="inlineStr">
        <is>
          <t>Avg Delay</t>
        </is>
      </c>
      <c r="J22" s="13" t="inlineStr">
        <is>
          <t>Destination</t>
        </is>
      </c>
      <c r="K22" s="13" t="inlineStr">
        <is>
          <t>Flights</t>
        </is>
      </c>
    </row>
    <row r="23">
      <c r="B23" t="inlineStr">
        <is>
          <t>DEL → BOM</t>
        </is>
      </c>
      <c r="C23" t="n">
        <v>1</v>
      </c>
      <c r="D23" t="n">
        <v>20</v>
      </c>
      <c r="F23" t="inlineStr">
        <is>
          <t>BLR</t>
        </is>
      </c>
      <c r="G23" t="n">
        <v>3</v>
      </c>
      <c r="H23" t="n">
        <v>13.33333333333333</v>
      </c>
      <c r="J23" t="inlineStr">
        <is>
          <t>BLR</t>
        </is>
      </c>
      <c r="K23" t="n">
        <v>2</v>
      </c>
    </row>
    <row r="24">
      <c r="B24" t="inlineStr">
        <is>
          <t>BOM → DEL</t>
        </is>
      </c>
      <c r="C24" t="n">
        <v>1</v>
      </c>
      <c r="D24" t="n">
        <v>45</v>
      </c>
      <c r="F24" t="inlineStr">
        <is>
          <t>BOM</t>
        </is>
      </c>
      <c r="G24" t="n">
        <v>3</v>
      </c>
      <c r="H24" t="n">
        <v>31.66666666666667</v>
      </c>
      <c r="J24" t="inlineStr">
        <is>
          <t>BOM</t>
        </is>
      </c>
      <c r="K24" t="n">
        <v>3</v>
      </c>
    </row>
    <row r="25">
      <c r="B25" t="inlineStr">
        <is>
          <t>DEL → BLR</t>
        </is>
      </c>
      <c r="C25" t="n">
        <v>1</v>
      </c>
      <c r="D25" t="n">
        <v>5</v>
      </c>
      <c r="F25" t="inlineStr">
        <is>
          <t>CCU</t>
        </is>
      </c>
      <c r="G25" t="n">
        <v>1</v>
      </c>
      <c r="H25" t="n">
        <v>10</v>
      </c>
      <c r="J25" t="inlineStr">
        <is>
          <t>CCU</t>
        </is>
      </c>
      <c r="K25" t="n">
        <v>2</v>
      </c>
    </row>
    <row r="26">
      <c r="B26" t="inlineStr">
        <is>
          <t>BLR → HYD</t>
        </is>
      </c>
      <c r="C26" t="n">
        <v>1</v>
      </c>
      <c r="D26" t="n">
        <v>40</v>
      </c>
      <c r="F26" t="inlineStr">
        <is>
          <t>DEL</t>
        </is>
      </c>
      <c r="G26" t="n">
        <v>5</v>
      </c>
      <c r="H26" t="n">
        <v>15</v>
      </c>
      <c r="J26" t="inlineStr">
        <is>
          <t>DEL</t>
        </is>
      </c>
      <c r="K26" t="n">
        <v>5</v>
      </c>
    </row>
    <row r="27">
      <c r="B27" t="inlineStr">
        <is>
          <t>DEL → DXB</t>
        </is>
      </c>
      <c r="C27" t="n">
        <v>1</v>
      </c>
      <c r="D27" t="n">
        <v>10</v>
      </c>
      <c r="F27" t="inlineStr">
        <is>
          <t>DXB</t>
        </is>
      </c>
      <c r="G27" t="n">
        <v>1</v>
      </c>
      <c r="H27" t="n">
        <v>5</v>
      </c>
      <c r="J27" t="inlineStr">
        <is>
          <t>DXB</t>
        </is>
      </c>
      <c r="K27" t="n">
        <v>1</v>
      </c>
    </row>
    <row r="28">
      <c r="B28" t="inlineStr">
        <is>
          <t>BOM → BLR</t>
        </is>
      </c>
      <c r="C28" t="n">
        <v>1</v>
      </c>
      <c r="D28" t="n">
        <v>0</v>
      </c>
      <c r="F28" t="inlineStr">
        <is>
          <t>HYD</t>
        </is>
      </c>
      <c r="G28" t="n">
        <v>2</v>
      </c>
      <c r="H28" t="n">
        <v>60</v>
      </c>
      <c r="J28" t="inlineStr">
        <is>
          <t>HYD</t>
        </is>
      </c>
      <c r="K28" t="n">
        <v>2</v>
      </c>
    </row>
    <row r="29">
      <c r="B29" t="inlineStr">
        <is>
          <t>BLR → DEL</t>
        </is>
      </c>
      <c r="C29" t="n">
        <v>1</v>
      </c>
      <c r="D29" t="n">
        <v>0</v>
      </c>
    </row>
    <row r="30">
      <c r="B30" t="inlineStr">
        <is>
          <t>HYD → DEL</t>
        </is>
      </c>
      <c r="C30" t="n">
        <v>1</v>
      </c>
      <c r="D30" t="n">
        <v>90</v>
      </c>
    </row>
    <row r="31">
      <c r="B31" t="inlineStr">
        <is>
          <t>DEL → CCU</t>
        </is>
      </c>
      <c r="C31" t="n">
        <v>1</v>
      </c>
      <c r="D31" t="n">
        <v>25</v>
      </c>
    </row>
    <row r="32">
      <c r="B32" t="inlineStr">
        <is>
          <t>DXB → DEL</t>
        </is>
      </c>
      <c r="C32" t="n">
        <v>1</v>
      </c>
      <c r="D32" t="n">
        <v>5</v>
      </c>
    </row>
    <row r="33">
      <c r="B33" t="inlineStr">
        <is>
          <t>DEL → HYD</t>
        </is>
      </c>
      <c r="C33" t="n">
        <v>1</v>
      </c>
      <c r="D33" t="n">
        <v>15</v>
      </c>
    </row>
    <row r="34">
      <c r="B34" t="inlineStr">
        <is>
          <t>BOM → CCU</t>
        </is>
      </c>
      <c r="C34" t="n">
        <v>1</v>
      </c>
      <c r="D34" t="n">
        <v>50</v>
      </c>
    </row>
    <row r="35">
      <c r="B35" t="inlineStr">
        <is>
          <t>BLR → BOM</t>
        </is>
      </c>
      <c r="C35" t="n">
        <v>1</v>
      </c>
      <c r="D35" t="n">
        <v>0</v>
      </c>
    </row>
    <row r="36">
      <c r="B36" t="inlineStr">
        <is>
          <t>CCU → DEL</t>
        </is>
      </c>
      <c r="C36" t="n">
        <v>1</v>
      </c>
      <c r="D36" t="n">
        <v>10</v>
      </c>
    </row>
    <row r="37">
      <c r="B37" t="inlineStr">
        <is>
          <t>HYD → BOM</t>
        </is>
      </c>
      <c r="C37" t="n">
        <v>1</v>
      </c>
      <c r="D37" t="n">
        <v>30</v>
      </c>
    </row>
    <row r="39">
      <c r="B39" s="86" t="inlineStr">
        <is>
          <t>Note: Detailed dashboards are available in the dashboard tabs at the front of this workbook.</t>
        </is>
      </c>
    </row>
    <row r="40">
      <c r="B40" s="14" t="inlineStr">
        <is>
          <t>KEY INSIGHTS  •  Total flights: 15  •  Overall average delay: 23.0 min  •  Highest delay: HYD → DEL (90 min)  •  Data source: uploaded flight-route screenshot</t>
        </is>
      </c>
    </row>
    <row r="41"/>
  </sheetData>
  <mergeCells count="8">
    <mergeCell ref="J5:L5"/>
    <mergeCell ref="B5:D5"/>
    <mergeCell ref="B6:D7"/>
    <mergeCell ref="F5:H5"/>
    <mergeCell ref="F6:H7"/>
    <mergeCell ref="J6:L7"/>
    <mergeCell ref="B2:L3"/>
    <mergeCell ref="B40:L4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63" t="inlineStr">
        <is>
          <t>passenger_id</t>
        </is>
      </c>
      <c r="B1" s="63" t="inlineStr">
        <is>
          <t>flight_id</t>
        </is>
      </c>
      <c r="C1" s="63" t="inlineStr">
        <is>
          <t>passenger_name</t>
        </is>
      </c>
      <c r="D1" s="63" t="inlineStr">
        <is>
          <t>age</t>
        </is>
      </c>
      <c r="E1" s="63" t="inlineStr">
        <is>
          <t>gender</t>
        </is>
      </c>
      <c r="F1" s="63" t="inlineStr">
        <is>
          <t>travel_class</t>
        </is>
      </c>
      <c r="G1" s="63" t="inlineStr">
        <is>
          <t>ticket_price</t>
        </is>
      </c>
      <c r="H1" s="63" t="inlineStr">
        <is>
          <t>booking_date</t>
        </is>
      </c>
    </row>
    <row r="2">
      <c r="A2" s="64" t="n">
        <v>1</v>
      </c>
      <c r="B2" s="64" t="n">
        <v>101</v>
      </c>
      <c r="C2" s="64" t="inlineStr">
        <is>
          <t>Rahul Sharma</t>
        </is>
      </c>
      <c r="D2" s="64" t="n">
        <v>28</v>
      </c>
      <c r="E2" s="64" t="inlineStr">
        <is>
          <t>Male</t>
        </is>
      </c>
      <c r="F2" s="64" t="inlineStr">
        <is>
          <t>Economy</t>
        </is>
      </c>
      <c r="G2" s="65" t="n">
        <v>5600</v>
      </c>
      <c r="H2" s="64" t="inlineStr">
        <is>
          <t>12/20/2025</t>
        </is>
      </c>
    </row>
    <row r="3">
      <c r="A3" s="64" t="n">
        <v>2</v>
      </c>
      <c r="B3" s="64" t="n">
        <v>101</v>
      </c>
      <c r="C3" s="64" t="inlineStr">
        <is>
          <t>Priya Singh</t>
        </is>
      </c>
      <c r="D3" s="64" t="n">
        <v>25</v>
      </c>
      <c r="E3" s="64" t="inlineStr">
        <is>
          <t>Female</t>
        </is>
      </c>
      <c r="F3" s="64" t="inlineStr">
        <is>
          <t>Economy</t>
        </is>
      </c>
      <c r="G3" s="65" t="n">
        <v>5600</v>
      </c>
      <c r="H3" s="64" t="inlineStr">
        <is>
          <t>12/21/2025</t>
        </is>
      </c>
    </row>
    <row r="4">
      <c r="A4" s="64" t="n">
        <v>3</v>
      </c>
      <c r="B4" s="64" t="n">
        <v>102</v>
      </c>
      <c r="C4" s="64" t="inlineStr">
        <is>
          <t>Amit Kumar</t>
        </is>
      </c>
      <c r="D4" s="64" t="n">
        <v>35</v>
      </c>
      <c r="E4" s="64" t="inlineStr">
        <is>
          <t>Male</t>
        </is>
      </c>
      <c r="F4" s="64" t="inlineStr">
        <is>
          <t>Business</t>
        </is>
      </c>
      <c r="G4" s="65" t="n">
        <v>12500</v>
      </c>
      <c r="H4" s="64" t="inlineStr">
        <is>
          <t>12/22/2025</t>
        </is>
      </c>
    </row>
    <row r="5">
      <c r="A5" s="64" t="n">
        <v>4</v>
      </c>
      <c r="B5" s="64" t="n">
        <v>103</v>
      </c>
      <c r="C5" s="64" t="inlineStr">
        <is>
          <t>Neha Verma</t>
        </is>
      </c>
      <c r="D5" s="64" t="n">
        <v>29</v>
      </c>
      <c r="E5" s="64" t="inlineStr">
        <is>
          <t>Female</t>
        </is>
      </c>
      <c r="F5" s="64" t="inlineStr">
        <is>
          <t>Economy</t>
        </is>
      </c>
      <c r="G5" s="65" t="n">
        <v>6200</v>
      </c>
      <c r="H5" s="64" t="inlineStr">
        <is>
          <t>12/25/2025</t>
        </is>
      </c>
    </row>
    <row r="6">
      <c r="A6" s="64" t="n">
        <v>5</v>
      </c>
      <c r="B6" s="64" t="n">
        <v>104</v>
      </c>
      <c r="C6" s="64" t="inlineStr">
        <is>
          <t>Rohan Gupta</t>
        </is>
      </c>
      <c r="D6" s="64" t="n">
        <v>40</v>
      </c>
      <c r="E6" s="64" t="inlineStr">
        <is>
          <t>Male</t>
        </is>
      </c>
      <c r="F6" s="64" t="inlineStr">
        <is>
          <t>Economy</t>
        </is>
      </c>
      <c r="G6" s="65" t="n">
        <v>4800</v>
      </c>
      <c r="H6" s="64" t="inlineStr">
        <is>
          <t>12/26/2025</t>
        </is>
      </c>
    </row>
    <row r="7">
      <c r="A7" s="64" t="n">
        <v>6</v>
      </c>
      <c r="B7" s="64" t="n">
        <v>105</v>
      </c>
      <c r="C7" s="64" t="inlineStr">
        <is>
          <t>Anjali Mehta</t>
        </is>
      </c>
      <c r="D7" s="64" t="n">
        <v>32</v>
      </c>
      <c r="E7" s="64" t="inlineStr">
        <is>
          <t>Female</t>
        </is>
      </c>
      <c r="F7" s="64" t="inlineStr">
        <is>
          <t>Business</t>
        </is>
      </c>
      <c r="G7" s="65" t="n">
        <v>25000</v>
      </c>
      <c r="H7" s="64" t="inlineStr">
        <is>
          <t>12/28/2025</t>
        </is>
      </c>
    </row>
    <row r="8">
      <c r="A8" s="64" t="n">
        <v>7</v>
      </c>
      <c r="B8" s="64" t="n">
        <v>106</v>
      </c>
      <c r="C8" s="64" t="inlineStr">
        <is>
          <t>Vikas Yadav</t>
        </is>
      </c>
      <c r="D8" s="64" t="n">
        <v>26</v>
      </c>
      <c r="E8" s="64" t="inlineStr">
        <is>
          <t>Male</t>
        </is>
      </c>
      <c r="F8" s="64" t="inlineStr">
        <is>
          <t>Economy</t>
        </is>
      </c>
      <c r="G8" s="65" t="n">
        <v>4500</v>
      </c>
      <c r="H8" s="64" t="inlineStr">
        <is>
          <t>12/29/2025</t>
        </is>
      </c>
    </row>
    <row r="9">
      <c r="A9" s="64" t="n">
        <v>8</v>
      </c>
      <c r="B9" s="64" t="n">
        <v>108</v>
      </c>
      <c r="C9" s="64" t="inlineStr">
        <is>
          <t>Sneha Jain</t>
        </is>
      </c>
      <c r="D9" s="64" t="n">
        <v>31</v>
      </c>
      <c r="E9" s="64" t="inlineStr">
        <is>
          <t>Female</t>
        </is>
      </c>
      <c r="F9" s="64" t="inlineStr">
        <is>
          <t>Economy</t>
        </is>
      </c>
      <c r="G9" s="65" t="n">
        <v>5100</v>
      </c>
      <c r="H9" s="64" t="inlineStr">
        <is>
          <t>12/30/2025</t>
        </is>
      </c>
    </row>
    <row r="10">
      <c r="A10" s="64" t="n">
        <v>9</v>
      </c>
      <c r="B10" s="64" t="n">
        <v>109</v>
      </c>
      <c r="C10" s="64" t="inlineStr">
        <is>
          <t>Arjun Kapoor</t>
        </is>
      </c>
      <c r="D10" s="64" t="n">
        <v>38</v>
      </c>
      <c r="E10" s="64" t="inlineStr">
        <is>
          <t>Male</t>
        </is>
      </c>
      <c r="F10" s="64" t="inlineStr">
        <is>
          <t>Business</t>
        </is>
      </c>
      <c r="G10" s="65" t="n">
        <v>11000</v>
      </c>
      <c r="H10" s="64" t="inlineStr">
        <is>
          <t>01/01/2026</t>
        </is>
      </c>
    </row>
    <row r="11">
      <c r="A11" s="64" t="n">
        <v>10</v>
      </c>
      <c r="B11" s="64" t="n">
        <v>110</v>
      </c>
      <c r="C11" s="64" t="inlineStr">
        <is>
          <t>Pooja Agarwal</t>
        </is>
      </c>
      <c r="D11" s="64" t="n">
        <v>27</v>
      </c>
      <c r="E11" s="64" t="inlineStr">
        <is>
          <t>Female</t>
        </is>
      </c>
      <c r="F11" s="64" t="inlineStr">
        <is>
          <t>Economy</t>
        </is>
      </c>
      <c r="G11" s="65" t="n">
        <v>22000</v>
      </c>
      <c r="H11" s="64" t="inlineStr">
        <is>
          <t>01/02/2026</t>
        </is>
      </c>
    </row>
    <row r="12">
      <c r="A12" s="64" t="n">
        <v>11</v>
      </c>
      <c r="B12" s="64" t="n">
        <v>111</v>
      </c>
      <c r="C12" s="64" t="inlineStr">
        <is>
          <t>Karan Singh</t>
        </is>
      </c>
      <c r="D12" s="64" t="n">
        <v>30</v>
      </c>
      <c r="E12" s="64" t="inlineStr">
        <is>
          <t>Male</t>
        </is>
      </c>
      <c r="F12" s="64" t="inlineStr">
        <is>
          <t>Economy</t>
        </is>
      </c>
      <c r="G12" s="65" t="n">
        <v>6000</v>
      </c>
      <c r="H12" s="64" t="inlineStr">
        <is>
          <t>01/03/2026</t>
        </is>
      </c>
    </row>
    <row r="13">
      <c r="A13" s="64" t="n">
        <v>12</v>
      </c>
      <c r="B13" s="64" t="n">
        <v>112</v>
      </c>
      <c r="C13" s="64" t="inlineStr">
        <is>
          <t>Simran Kaur</t>
        </is>
      </c>
      <c r="D13" s="64" t="n">
        <v>24</v>
      </c>
      <c r="E13" s="64" t="inlineStr">
        <is>
          <t>Female</t>
        </is>
      </c>
      <c r="F13" s="64" t="inlineStr">
        <is>
          <t>Economy</t>
        </is>
      </c>
      <c r="G13" s="65" t="n">
        <v>5800</v>
      </c>
      <c r="H13" s="64" t="inlineStr">
        <is>
          <t>01/04/2026</t>
        </is>
      </c>
    </row>
    <row r="14">
      <c r="A14" s="64" t="n">
        <v>13</v>
      </c>
      <c r="B14" s="64" t="n">
        <v>114</v>
      </c>
      <c r="C14" s="64" t="inlineStr">
        <is>
          <t>Manish Tiwari</t>
        </is>
      </c>
      <c r="D14" s="64" t="n">
        <v>45</v>
      </c>
      <c r="E14" s="64" t="inlineStr">
        <is>
          <t>Male</t>
        </is>
      </c>
      <c r="F14" s="64" t="inlineStr">
        <is>
          <t>Business</t>
        </is>
      </c>
      <c r="G14" s="65" t="n">
        <v>9000</v>
      </c>
      <c r="H14" s="64" t="inlineStr">
        <is>
          <t>01/05/2026</t>
        </is>
      </c>
    </row>
    <row r="15">
      <c r="A15" s="64" t="n">
        <v>14</v>
      </c>
      <c r="B15" s="64" t="n">
        <v>115</v>
      </c>
      <c r="C15" s="64" t="inlineStr">
        <is>
          <t>Riya Sharma</t>
        </is>
      </c>
      <c r="D15" s="64" t="n">
        <v>22</v>
      </c>
      <c r="E15" s="64" t="inlineStr">
        <is>
          <t>Female</t>
        </is>
      </c>
      <c r="F15" s="64" t="inlineStr">
        <is>
          <t>Economy</t>
        </is>
      </c>
      <c r="G15" s="65" t="n">
        <v>5200</v>
      </c>
      <c r="H15" s="64" t="inlineStr">
        <is>
          <t>01/06/2026</t>
        </is>
      </c>
    </row>
  </sheetData>
  <autoFilter ref="A1:H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9" customWidth="1" min="4" max="4"/>
    <col width="24" customWidth="1" min="5" max="5"/>
    <col width="13" customWidth="1" min="6" max="6"/>
    <col width="21" customWidth="1" min="7" max="7"/>
    <col width="18" customWidth="1" min="8" max="8"/>
    <col width="19" customWidth="1" min="9" max="9"/>
    <col width="16" customWidth="1" min="10" max="10"/>
    <col width="12" customWidth="1" min="11" max="11"/>
    <col width="15" customWidth="1" min="12" max="12"/>
    <col width="21" customWidth="1" min="13" max="13"/>
  </cols>
  <sheetData>
    <row r="1">
      <c r="A1" s="63" t="inlineStr">
        <is>
          <t>flight_id</t>
        </is>
      </c>
      <c r="B1" s="63" t="inlineStr">
        <is>
          <t>flight_number</t>
        </is>
      </c>
      <c r="C1" s="63" t="inlineStr">
        <is>
          <t>airline_id</t>
        </is>
      </c>
      <c r="D1" s="63" t="inlineStr">
        <is>
          <t>source_airport_id</t>
        </is>
      </c>
      <c r="E1" s="63" t="inlineStr">
        <is>
          <t>destination_airport_id</t>
        </is>
      </c>
      <c r="F1" s="63" t="inlineStr">
        <is>
          <t>flight_date</t>
        </is>
      </c>
      <c r="G1" s="63" t="inlineStr">
        <is>
          <t>scheduled_departure</t>
        </is>
      </c>
      <c r="H1" s="63" t="inlineStr">
        <is>
          <t>actual_departure</t>
        </is>
      </c>
      <c r="I1" s="63" t="inlineStr">
        <is>
          <t>scheduled_arrival</t>
        </is>
      </c>
      <c r="J1" s="63" t="inlineStr">
        <is>
          <t>actual_arrival</t>
        </is>
      </c>
      <c r="K1" s="63" t="inlineStr">
        <is>
          <t>status</t>
        </is>
      </c>
      <c r="L1" s="63" t="inlineStr">
        <is>
          <t>delay_minutes</t>
        </is>
      </c>
      <c r="M1" s="63" t="inlineStr">
        <is>
          <t>cancellation_reason</t>
        </is>
      </c>
    </row>
    <row r="2">
      <c r="A2" s="64" t="n">
        <v>101</v>
      </c>
      <c r="B2" s="64" t="inlineStr">
        <is>
          <t>6E101</t>
        </is>
      </c>
      <c r="C2" s="64" t="n">
        <v>1</v>
      </c>
      <c r="D2" s="64" t="n">
        <v>1</v>
      </c>
      <c r="E2" s="64" t="n">
        <v>2</v>
      </c>
      <c r="F2" s="64" t="inlineStr">
        <is>
          <t>01/05/2026</t>
        </is>
      </c>
      <c r="G2" s="64" t="inlineStr">
        <is>
          <t>8:00:00 AM</t>
        </is>
      </c>
      <c r="H2" s="64" t="inlineStr">
        <is>
          <t>8:20:00 AM</t>
        </is>
      </c>
      <c r="I2" s="64" t="inlineStr">
        <is>
          <t>10:00:00 AM</t>
        </is>
      </c>
      <c r="J2" s="64" t="inlineStr">
        <is>
          <t>10:15:00 AM</t>
        </is>
      </c>
      <c r="K2" s="64" t="inlineStr">
        <is>
          <t>Completed</t>
        </is>
      </c>
      <c r="L2" s="64" t="n">
        <v>20</v>
      </c>
      <c r="M2" s="64" t="n"/>
    </row>
    <row r="3">
      <c r="A3" s="64" t="n">
        <v>102</v>
      </c>
      <c r="B3" s="64" t="inlineStr">
        <is>
          <t>AI202</t>
        </is>
      </c>
      <c r="C3" s="64" t="n">
        <v>2</v>
      </c>
      <c r="D3" s="64" t="n">
        <v>2</v>
      </c>
      <c r="E3" s="64" t="n">
        <v>1</v>
      </c>
      <c r="F3" s="64" t="inlineStr">
        <is>
          <t>01/06/2026</t>
        </is>
      </c>
      <c r="G3" s="64" t="inlineStr">
        <is>
          <t>9:00:00 AM</t>
        </is>
      </c>
      <c r="H3" s="64" t="inlineStr">
        <is>
          <t>9:45:00 AM</t>
        </is>
      </c>
      <c r="I3" s="64" t="inlineStr">
        <is>
          <t>11:00:00 AM</t>
        </is>
      </c>
      <c r="J3" s="64" t="inlineStr">
        <is>
          <t>11:50:00 AM</t>
        </is>
      </c>
      <c r="K3" s="64" t="inlineStr">
        <is>
          <t>Completed</t>
        </is>
      </c>
      <c r="L3" s="64" t="n">
        <v>45</v>
      </c>
      <c r="M3" s="64" t="n"/>
    </row>
    <row r="4">
      <c r="A4" s="64" t="n">
        <v>103</v>
      </c>
      <c r="B4" s="64" t="inlineStr">
        <is>
          <t>UK303</t>
        </is>
      </c>
      <c r="C4" s="64" t="n">
        <v>3</v>
      </c>
      <c r="D4" s="64" t="n">
        <v>1</v>
      </c>
      <c r="E4" s="64" t="n">
        <v>3</v>
      </c>
      <c r="F4" s="64" t="inlineStr">
        <is>
          <t>01/07/2026</t>
        </is>
      </c>
      <c r="G4" s="64" t="inlineStr">
        <is>
          <t>10:00:00 AM</t>
        </is>
      </c>
      <c r="H4" s="64" t="inlineStr">
        <is>
          <t>10:05:00 AM</t>
        </is>
      </c>
      <c r="I4" s="64" t="inlineStr">
        <is>
          <t>12:30:00 PM</t>
        </is>
      </c>
      <c r="J4" s="64" t="inlineStr">
        <is>
          <t>12:35:00 PM</t>
        </is>
      </c>
      <c r="K4" s="64" t="inlineStr">
        <is>
          <t>Completed</t>
        </is>
      </c>
      <c r="L4" s="64" t="n">
        <v>5</v>
      </c>
      <c r="M4" s="64" t="n"/>
    </row>
    <row r="5">
      <c r="A5" s="64" t="n">
        <v>104</v>
      </c>
      <c r="B5" s="64" t="inlineStr">
        <is>
          <t>SG404</t>
        </is>
      </c>
      <c r="C5" s="64" t="n">
        <v>4</v>
      </c>
      <c r="D5" s="64" t="n">
        <v>3</v>
      </c>
      <c r="E5" s="64" t="n">
        <v>4</v>
      </c>
      <c r="F5" s="64" t="inlineStr">
        <is>
          <t>01/08/2026</t>
        </is>
      </c>
      <c r="G5" s="64" t="inlineStr">
        <is>
          <t>2:00:00 PM</t>
        </is>
      </c>
      <c r="H5" s="64" t="inlineStr">
        <is>
          <t>2:40:00 PM</t>
        </is>
      </c>
      <c r="I5" s="64" t="inlineStr">
        <is>
          <t>3:30:00 PM</t>
        </is>
      </c>
      <c r="J5" s="64" t="inlineStr">
        <is>
          <t>4:20:00 PM</t>
        </is>
      </c>
      <c r="K5" s="64" t="inlineStr">
        <is>
          <t>Completed</t>
        </is>
      </c>
      <c r="L5" s="64" t="n">
        <v>40</v>
      </c>
      <c r="M5" s="64" t="n"/>
    </row>
    <row r="6">
      <c r="A6" s="64" t="n">
        <v>105</v>
      </c>
      <c r="B6" s="64" t="inlineStr">
        <is>
          <t>EK505</t>
        </is>
      </c>
      <c r="C6" s="64" t="n">
        <v>5</v>
      </c>
      <c r="D6" s="64" t="n">
        <v>1</v>
      </c>
      <c r="E6" s="64" t="n">
        <v>6</v>
      </c>
      <c r="F6" s="64" t="inlineStr">
        <is>
          <t>01/09/2026</t>
        </is>
      </c>
      <c r="G6" s="64" t="inlineStr">
        <is>
          <t>6:00:00 PM</t>
        </is>
      </c>
      <c r="H6" s="64" t="inlineStr">
        <is>
          <t>6:10:00 PM</t>
        </is>
      </c>
      <c r="I6" s="64" t="inlineStr">
        <is>
          <t>9:00:00 PM</t>
        </is>
      </c>
      <c r="J6" s="64" t="inlineStr">
        <is>
          <t>9:15:00 PM</t>
        </is>
      </c>
      <c r="K6" s="64" t="inlineStr">
        <is>
          <t>Completed</t>
        </is>
      </c>
      <c r="L6" s="64" t="n">
        <v>10</v>
      </c>
      <c r="M6" s="64" t="n"/>
    </row>
    <row r="7">
      <c r="A7" s="64" t="n">
        <v>106</v>
      </c>
      <c r="B7" s="64" t="inlineStr">
        <is>
          <t>6E106</t>
        </is>
      </c>
      <c r="C7" s="64" t="n">
        <v>1</v>
      </c>
      <c r="D7" s="64" t="n">
        <v>2</v>
      </c>
      <c r="E7" s="64" t="n">
        <v>3</v>
      </c>
      <c r="F7" s="64" t="inlineStr">
        <is>
          <t>01/10/2026</t>
        </is>
      </c>
      <c r="G7" s="64" t="inlineStr">
        <is>
          <t>7:30:00 AM</t>
        </is>
      </c>
      <c r="H7" s="64" t="inlineStr">
        <is>
          <t>7:30:00 AM</t>
        </is>
      </c>
      <c r="I7" s="64" t="inlineStr">
        <is>
          <t>9:00:00 AM</t>
        </is>
      </c>
      <c r="J7" s="64" t="inlineStr">
        <is>
          <t>8:55:00 AM</t>
        </is>
      </c>
      <c r="K7" s="64" t="inlineStr">
        <is>
          <t>Completed</t>
        </is>
      </c>
      <c r="L7" s="64" t="n">
        <v>0</v>
      </c>
      <c r="M7" s="64" t="n"/>
    </row>
    <row r="8">
      <c r="A8" s="64" t="n">
        <v>107</v>
      </c>
      <c r="B8" s="64" t="inlineStr">
        <is>
          <t>AI207</t>
        </is>
      </c>
      <c r="C8" s="64" t="n">
        <v>2</v>
      </c>
      <c r="D8" s="64" t="n">
        <v>3</v>
      </c>
      <c r="E8" s="64" t="n">
        <v>1</v>
      </c>
      <c r="F8" s="64" t="inlineStr">
        <is>
          <t>01/11/2026</t>
        </is>
      </c>
      <c r="G8" s="64" t="inlineStr">
        <is>
          <t>12:00:00 PM</t>
        </is>
      </c>
      <c r="H8" s="64" t="n"/>
      <c r="I8" s="64" t="inlineStr">
        <is>
          <t>2:00:00 PM</t>
        </is>
      </c>
      <c r="J8" s="64" t="n"/>
      <c r="K8" s="64" t="inlineStr">
        <is>
          <t>Cancelled</t>
        </is>
      </c>
      <c r="L8" s="64" t="n">
        <v>0</v>
      </c>
      <c r="M8" s="64" t="inlineStr">
        <is>
          <t>Technical Problem</t>
        </is>
      </c>
    </row>
    <row r="9">
      <c r="A9" s="64" t="n">
        <v>108</v>
      </c>
      <c r="B9" s="64" t="inlineStr">
        <is>
          <t>SG408</t>
        </is>
      </c>
      <c r="C9" s="64" t="n">
        <v>4</v>
      </c>
      <c r="D9" s="64" t="n">
        <v>4</v>
      </c>
      <c r="E9" s="64" t="n">
        <v>1</v>
      </c>
      <c r="F9" s="64" t="inlineStr">
        <is>
          <t>01/12/2026</t>
        </is>
      </c>
      <c r="G9" s="64" t="inlineStr">
        <is>
          <t>3:00:00 PM</t>
        </is>
      </c>
      <c r="H9" s="64" t="inlineStr">
        <is>
          <t>4:30:00 PM</t>
        </is>
      </c>
      <c r="I9" s="64" t="inlineStr">
        <is>
          <t>5:30:00 PM</t>
        </is>
      </c>
      <c r="J9" s="64" t="inlineStr">
        <is>
          <t>7:00:00 PM</t>
        </is>
      </c>
      <c r="K9" s="64" t="inlineStr">
        <is>
          <t>Completed</t>
        </is>
      </c>
      <c r="L9" s="64" t="n">
        <v>90</v>
      </c>
      <c r="M9" s="64" t="n"/>
    </row>
    <row r="10">
      <c r="A10" s="64" t="n">
        <v>109</v>
      </c>
      <c r="B10" s="64" t="inlineStr">
        <is>
          <t>UK309</t>
        </is>
      </c>
      <c r="C10" s="64" t="n">
        <v>3</v>
      </c>
      <c r="D10" s="64" t="n">
        <v>1</v>
      </c>
      <c r="E10" s="64" t="n">
        <v>5</v>
      </c>
      <c r="F10" s="64" t="inlineStr">
        <is>
          <t>01/13/2026</t>
        </is>
      </c>
      <c r="G10" s="64" t="inlineStr">
        <is>
          <t>11:00:00 AM</t>
        </is>
      </c>
      <c r="H10" s="64" t="inlineStr">
        <is>
          <t>11:25:00 AM</t>
        </is>
      </c>
      <c r="I10" s="64" t="inlineStr">
        <is>
          <t>1:30:00 PM</t>
        </is>
      </c>
      <c r="J10" s="64" t="inlineStr">
        <is>
          <t>2:00:00 PM</t>
        </is>
      </c>
      <c r="K10" s="64" t="inlineStr">
        <is>
          <t>Completed</t>
        </is>
      </c>
      <c r="L10" s="64" t="n">
        <v>25</v>
      </c>
      <c r="M10" s="64" t="n"/>
    </row>
    <row r="11">
      <c r="A11" s="64" t="n">
        <v>110</v>
      </c>
      <c r="B11" s="64" t="inlineStr">
        <is>
          <t>EK510</t>
        </is>
      </c>
      <c r="C11" s="64" t="n">
        <v>5</v>
      </c>
      <c r="D11" s="64" t="n">
        <v>6</v>
      </c>
      <c r="E11" s="64" t="n">
        <v>1</v>
      </c>
      <c r="F11" s="64" t="inlineStr">
        <is>
          <t>01/14/2026</t>
        </is>
      </c>
      <c r="G11" s="64" t="inlineStr">
        <is>
          <t>8:00:00 PM</t>
        </is>
      </c>
      <c r="H11" s="64" t="inlineStr">
        <is>
          <t>8:05:00 PM</t>
        </is>
      </c>
      <c r="I11" s="64" t="inlineStr">
        <is>
          <t>11:00:00 PM</t>
        </is>
      </c>
      <c r="J11" s="64" t="inlineStr">
        <is>
          <t>11:10:00 PM</t>
        </is>
      </c>
      <c r="K11" s="64" t="inlineStr">
        <is>
          <t>Completed</t>
        </is>
      </c>
      <c r="L11" s="64" t="n">
        <v>5</v>
      </c>
      <c r="M11" s="64" t="n"/>
    </row>
    <row r="12">
      <c r="A12" s="64" t="n">
        <v>111</v>
      </c>
      <c r="B12" s="64" t="inlineStr">
        <is>
          <t>6E111</t>
        </is>
      </c>
      <c r="C12" s="64" t="n">
        <v>1</v>
      </c>
      <c r="D12" s="64" t="n">
        <v>1</v>
      </c>
      <c r="E12" s="64" t="n">
        <v>4</v>
      </c>
      <c r="F12" s="64" t="inlineStr">
        <is>
          <t>01/15/2026</t>
        </is>
      </c>
      <c r="G12" s="64" t="inlineStr">
        <is>
          <t>6:00:00 AM</t>
        </is>
      </c>
      <c r="H12" s="64" t="inlineStr">
        <is>
          <t>6:15:00 AM</t>
        </is>
      </c>
      <c r="I12" s="64" t="inlineStr">
        <is>
          <t>8:30:00 AM</t>
        </is>
      </c>
      <c r="J12" s="64" t="inlineStr">
        <is>
          <t>8:50:00 AM</t>
        </is>
      </c>
      <c r="K12" s="64" t="inlineStr">
        <is>
          <t>Completed</t>
        </is>
      </c>
      <c r="L12" s="64" t="n">
        <v>15</v>
      </c>
      <c r="M12" s="64" t="n"/>
    </row>
    <row r="13">
      <c r="A13" s="64" t="n">
        <v>112</v>
      </c>
      <c r="B13" s="64" t="inlineStr">
        <is>
          <t>AI212</t>
        </is>
      </c>
      <c r="C13" s="64" t="n">
        <v>2</v>
      </c>
      <c r="D13" s="64" t="n">
        <v>2</v>
      </c>
      <c r="E13" s="64" t="n">
        <v>5</v>
      </c>
      <c r="F13" s="64" t="inlineStr">
        <is>
          <t>01/16/2026</t>
        </is>
      </c>
      <c r="G13" s="64" t="inlineStr">
        <is>
          <t>1:00:00 PM</t>
        </is>
      </c>
      <c r="H13" s="64" t="inlineStr">
        <is>
          <t>1:50:00 PM</t>
        </is>
      </c>
      <c r="I13" s="64" t="inlineStr">
        <is>
          <t>3:30:00 PM</t>
        </is>
      </c>
      <c r="J13" s="64" t="inlineStr">
        <is>
          <t>4:20:00 PM</t>
        </is>
      </c>
      <c r="K13" s="64" t="inlineStr">
        <is>
          <t>Completed</t>
        </is>
      </c>
      <c r="L13" s="64" t="n">
        <v>50</v>
      </c>
      <c r="M13" s="64" t="n"/>
    </row>
    <row r="14">
      <c r="A14" s="64" t="n">
        <v>113</v>
      </c>
      <c r="B14" s="64" t="inlineStr">
        <is>
          <t>SG413</t>
        </is>
      </c>
      <c r="C14" s="64" t="n">
        <v>4</v>
      </c>
      <c r="D14" s="64" t="n">
        <v>3</v>
      </c>
      <c r="E14" s="64" t="n">
        <v>2</v>
      </c>
      <c r="F14" s="64" t="inlineStr">
        <is>
          <t>01/17/2026</t>
        </is>
      </c>
      <c r="G14" s="64" t="inlineStr">
        <is>
          <t>4:00:00 PM</t>
        </is>
      </c>
      <c r="H14" s="64" t="n"/>
      <c r="I14" s="64" t="inlineStr">
        <is>
          <t>6:00:00 PM</t>
        </is>
      </c>
      <c r="J14" s="64" t="n"/>
      <c r="K14" s="64" t="inlineStr">
        <is>
          <t>Cancelled</t>
        </is>
      </c>
      <c r="L14" s="64" t="n">
        <v>0</v>
      </c>
      <c r="M14" s="64" t="inlineStr">
        <is>
          <t>Weather</t>
        </is>
      </c>
    </row>
    <row r="15">
      <c r="A15" s="64" t="n">
        <v>114</v>
      </c>
      <c r="B15" s="64" t="inlineStr">
        <is>
          <t>UK314</t>
        </is>
      </c>
      <c r="C15" s="64" t="n">
        <v>3</v>
      </c>
      <c r="D15" s="64" t="n">
        <v>5</v>
      </c>
      <c r="E15" s="64" t="n">
        <v>1</v>
      </c>
      <c r="F15" s="64" t="inlineStr">
        <is>
          <t>01/18/2026</t>
        </is>
      </c>
      <c r="G15" s="64" t="inlineStr">
        <is>
          <t>9:00:00 AM</t>
        </is>
      </c>
      <c r="H15" s="64" t="inlineStr">
        <is>
          <t>9:10:00 AM</t>
        </is>
      </c>
      <c r="I15" s="64" t="inlineStr">
        <is>
          <t>11:30:00 AM</t>
        </is>
      </c>
      <c r="J15" s="64" t="inlineStr">
        <is>
          <t>11:45:00 AM</t>
        </is>
      </c>
      <c r="K15" s="64" t="inlineStr">
        <is>
          <t>Completed</t>
        </is>
      </c>
      <c r="L15" s="64" t="n">
        <v>10</v>
      </c>
      <c r="M15" s="64" t="n"/>
    </row>
    <row r="16">
      <c r="A16" s="64" t="n">
        <v>115</v>
      </c>
      <c r="B16" s="64" t="inlineStr">
        <is>
          <t>6E115</t>
        </is>
      </c>
      <c r="C16" s="64" t="n">
        <v>1</v>
      </c>
      <c r="D16" s="64" t="n">
        <v>4</v>
      </c>
      <c r="E16" s="64" t="n">
        <v>2</v>
      </c>
      <c r="F16" s="64" t="inlineStr">
        <is>
          <t>01/19/2026</t>
        </is>
      </c>
      <c r="G16" s="64" t="inlineStr">
        <is>
          <t>5:00:00 PM</t>
        </is>
      </c>
      <c r="H16" s="64" t="inlineStr">
        <is>
          <t>5:30:00 PM</t>
        </is>
      </c>
      <c r="I16" s="64" t="inlineStr">
        <is>
          <t>7:00:00 PM</t>
        </is>
      </c>
      <c r="J16" s="64" t="inlineStr">
        <is>
          <t>7:40:00 PM</t>
        </is>
      </c>
      <c r="K16" s="64" t="inlineStr">
        <is>
          <t>Completed</t>
        </is>
      </c>
      <c r="L16" s="64" t="n">
        <v>30</v>
      </c>
      <c r="M16" s="64" t="n"/>
    </row>
  </sheetData>
  <autoFilter ref="A1:M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2" customWidth="1" min="4" max="4"/>
    <col width="12" customWidth="1" min="5" max="5"/>
  </cols>
  <sheetData>
    <row r="1">
      <c r="A1" s="63" t="inlineStr">
        <is>
          <t>airport_id</t>
        </is>
      </c>
      <c r="B1" s="63" t="inlineStr">
        <is>
          <t>airport_code</t>
        </is>
      </c>
      <c r="C1" s="63" t="inlineStr">
        <is>
          <t>airport_name</t>
        </is>
      </c>
      <c r="D1" s="63" t="inlineStr">
        <is>
          <t>city</t>
        </is>
      </c>
      <c r="E1" s="63" t="inlineStr">
        <is>
          <t>country</t>
        </is>
      </c>
    </row>
    <row r="2">
      <c r="A2" s="64" t="n">
        <v>1</v>
      </c>
      <c r="B2" s="64" t="inlineStr">
        <is>
          <t>DEL</t>
        </is>
      </c>
      <c r="C2" s="64" t="inlineStr">
        <is>
          <t>Indira Gandhi International Airport</t>
        </is>
      </c>
      <c r="D2" s="64" t="inlineStr">
        <is>
          <t>Delhi</t>
        </is>
      </c>
      <c r="E2" s="64" t="inlineStr">
        <is>
          <t>India</t>
        </is>
      </c>
    </row>
    <row r="3">
      <c r="A3" s="64" t="n">
        <v>2</v>
      </c>
      <c r="B3" s="64" t="inlineStr">
        <is>
          <t>BOM</t>
        </is>
      </c>
      <c r="C3" s="64" t="inlineStr">
        <is>
          <t>Chhatrapati Shivaji Maharaj Airport</t>
        </is>
      </c>
      <c r="D3" s="64" t="inlineStr">
        <is>
          <t>Mumbai</t>
        </is>
      </c>
      <c r="E3" s="64" t="inlineStr">
        <is>
          <t>India</t>
        </is>
      </c>
    </row>
    <row r="4">
      <c r="A4" s="64" t="n">
        <v>3</v>
      </c>
      <c r="B4" s="64" t="inlineStr">
        <is>
          <t>BLR</t>
        </is>
      </c>
      <c r="C4" s="64" t="inlineStr">
        <is>
          <t>Kempegowda International Airport</t>
        </is>
      </c>
      <c r="D4" s="64" t="inlineStr">
        <is>
          <t>Bangalore</t>
        </is>
      </c>
      <c r="E4" s="64" t="inlineStr">
        <is>
          <t>India</t>
        </is>
      </c>
    </row>
    <row r="5">
      <c r="A5" s="64" t="n">
        <v>4</v>
      </c>
      <c r="B5" s="64" t="inlineStr">
        <is>
          <t>HYD</t>
        </is>
      </c>
      <c r="C5" s="64" t="inlineStr">
        <is>
          <t>Rajiv Gandhi International Airport</t>
        </is>
      </c>
      <c r="D5" s="64" t="inlineStr">
        <is>
          <t>Hyderabad</t>
        </is>
      </c>
      <c r="E5" s="64" t="inlineStr">
        <is>
          <t>India</t>
        </is>
      </c>
    </row>
    <row r="6">
      <c r="A6" s="64" t="n">
        <v>5</v>
      </c>
      <c r="B6" s="64" t="inlineStr">
        <is>
          <t>CCU</t>
        </is>
      </c>
      <c r="C6" s="64" t="inlineStr">
        <is>
          <t>Netaji Subhas Chandra Bose Airport</t>
        </is>
      </c>
      <c r="D6" s="64" t="inlineStr">
        <is>
          <t>Kolkata</t>
        </is>
      </c>
      <c r="E6" s="64" t="inlineStr">
        <is>
          <t>India</t>
        </is>
      </c>
    </row>
    <row r="7">
      <c r="A7" s="64" t="n">
        <v>6</v>
      </c>
      <c r="B7" s="64" t="inlineStr">
        <is>
          <t>DXB</t>
        </is>
      </c>
      <c r="C7" s="64" t="inlineStr">
        <is>
          <t>Dubai International Airport</t>
        </is>
      </c>
      <c r="D7" s="64" t="inlineStr">
        <is>
          <t>Dubai</t>
        </is>
      </c>
      <c r="E7" s="64" t="inlineStr">
        <is>
          <t>UAE</t>
        </is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</cols>
  <sheetData>
    <row r="1">
      <c r="A1" s="63" t="inlineStr">
        <is>
          <t>flight_number</t>
        </is>
      </c>
      <c r="B1" s="63" t="inlineStr">
        <is>
          <t>airline_name</t>
        </is>
      </c>
      <c r="C1" s="63" t="inlineStr">
        <is>
          <t>cancellation_reason</t>
        </is>
      </c>
    </row>
    <row r="2">
      <c r="A2" s="64" t="inlineStr">
        <is>
          <t>AI207</t>
        </is>
      </c>
      <c r="B2" s="64" t="inlineStr">
        <is>
          <t>Air India</t>
        </is>
      </c>
      <c r="C2" s="64" t="inlineStr">
        <is>
          <t>Technical Problem</t>
        </is>
      </c>
    </row>
    <row r="3">
      <c r="A3" s="64" t="inlineStr">
        <is>
          <t>SG413</t>
        </is>
      </c>
      <c r="B3" s="64" t="inlineStr">
        <is>
          <t>SpiceJet</t>
        </is>
      </c>
      <c r="C3" s="64" t="inlineStr">
        <is>
          <t>Weather</t>
        </is>
      </c>
    </row>
  </sheetData>
  <autoFilter ref="A1:C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2026-10-05T00:02:23Z</dcterms:created>
  <dcterms:modified xmlns:dcterms="http://purl.org/dc/terms/" xmlns:xsi="http://www.w3.org/2001/XMLSchema-instance" xsi:type="dcterms:W3CDTF">2026-10-05T00:53:14Z</dcterms:modified>
</cp:coreProperties>
</file>