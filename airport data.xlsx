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8640" tabRatio="918"/>
  </bookViews>
  <sheets>
    <sheet name="Dashboard" sheetId="7" r:id="rId1"/>
    <sheet name="Executive Overview" sheetId="1" r:id="rId2"/>
    <sheet name="Passenger Dashboard" sheetId="2" r:id="rId3"/>
    <sheet name="Flight Operations Dashboard" sheetId="3" r:id="rId4"/>
    <sheet name="Route Performance Dashboard" sheetId="4" r:id="rId5"/>
    <sheet name="Cancellations" sheetId="11" r:id="rId6"/>
    <sheet name="Passenger Data" sheetId="8" r:id="rId7"/>
    <sheet name="Flight Data" sheetId="6" r:id="rId8"/>
    <sheet name="Flight Details" sheetId="9" r:id="rId9"/>
    <sheet name="Airport Data" sheetId="10" r:id="rId10"/>
  </sheets>
  <externalReferences>
    <externalReference r:id="rId11"/>
  </externalReferences>
  <definedNames>
    <definedName name="_xlnm._FilterDatabase" localSheetId="9" hidden="1">'Airport Data'!$A$1:$E$7</definedName>
    <definedName name="_xlnm._FilterDatabase" localSheetId="5" hidden="1">Cancellations!$A$1:$C$3</definedName>
    <definedName name="_xlnm._FilterDatabase" localSheetId="7" hidden="1">'Flight Data'!$A$1:$D$16</definedName>
    <definedName name="_xlnm._FilterDatabase" localSheetId="8" hidden="1">'Flight Details'!$A$1:$M$16</definedName>
    <definedName name="_xlnm._FilterDatabase" localSheetId="6" hidden="1">'Passenger Data'!$A$1:$H$15</definedName>
    <definedName name="_xlnm.Print_Area" localSheetId="0">Dashboard!$A$1:$M$42</definedName>
  </definedNames>
  <calcPr calcId="144525" forceFullCalc="1"/>
  <fileRecoveryPr repairLoad="1"/>
</workbook>
</file>

<file path=xl/calcChain.xml><?xml version="1.0" encoding="utf-8"?>
<calcChain xmlns="http://schemas.openxmlformats.org/spreadsheetml/2006/main">
  <c r="J6" i="7" l="1"/>
  <c r="F6" i="7"/>
  <c r="B6" i="7"/>
</calcChain>
</file>

<file path=xl/sharedStrings.xml><?xml version="1.0" encoding="utf-8"?>
<sst xmlns="http://schemas.openxmlformats.org/spreadsheetml/2006/main" count="403" uniqueCount="229">
  <si>
    <t>EXECUTIVE FLIGHT &amp; PASSENGER DASHBOARD 2026</t>
  </si>
  <si>
    <t>TOTAL FLIGHTS</t>
  </si>
  <si>
    <t>TOTAL PASSENGERS</t>
  </si>
  <si>
    <t>AVG DELAY</t>
  </si>
  <si>
    <t>Flight Status</t>
  </si>
  <si>
    <t>Passenger Gender</t>
  </si>
  <si>
    <t>Top Delay Routes</t>
  </si>
  <si>
    <t>Executive Highlights</t>
  </si>
  <si>
    <t>• Total Flights: 15
• Total Passengers: 14
• Average Delay: 23.0 minutes
• Cancelled Flights: 2 (13.3%)
• Highest Delay: 90 min (SG408)
• Highest-Fare Passenger: Anjali Mehta (₹25,000)</t>
  </si>
  <si>
    <t>Status</t>
  </si>
  <si>
    <t>Flights</t>
  </si>
  <si>
    <t>Gender</t>
  </si>
  <si>
    <t>Passengers</t>
  </si>
  <si>
    <t>Route</t>
  </si>
  <si>
    <t>Avg Delay</t>
  </si>
  <si>
    <t>Completed</t>
  </si>
  <si>
    <t>Male</t>
  </si>
  <si>
    <t>HYD → DEL</t>
  </si>
  <si>
    <t>Cancelled</t>
  </si>
  <si>
    <t>Female</t>
  </si>
  <si>
    <t>BOM → CCU</t>
  </si>
  <si>
    <t>BOM → DEL</t>
  </si>
  <si>
    <t>BLR → HYD</t>
  </si>
  <si>
    <t>HYD → BOM</t>
  </si>
  <si>
    <t>PASSENGER DEMOGRAPHICS &amp; BOOKING DASHBOARD 2026</t>
  </si>
  <si>
    <t>AVERAGE AGE</t>
  </si>
  <si>
    <t>AVG TICKET PRICE</t>
  </si>
  <si>
    <t>Passenger Gender Distribution</t>
  </si>
  <si>
    <t>Passenger Age Distribution</t>
  </si>
  <si>
    <t>Travel Class Distribution</t>
  </si>
  <si>
    <t>Booking &amp; Fare Highlights</t>
  </si>
  <si>
    <t>• Total Booked Passengers: 14
• Average Passenger Age: 30.9 Years
• Gender: 50% Male / 50% Female
• Primary Age Group: 26-35 (57.1%)
• Highest Fare: Anjali Mehta (₹25,000)
• Average Ticket Price: ₹9,164</t>
  </si>
  <si>
    <t>Count</t>
  </si>
  <si>
    <t>Age Group</t>
  </si>
  <si>
    <t>Class</t>
  </si>
  <si>
    <t>18-25</t>
  </si>
  <si>
    <t>Economy</t>
  </si>
  <si>
    <t>26-35</t>
  </si>
  <si>
    <t>Business</t>
  </si>
  <si>
    <t>36-45</t>
  </si>
  <si>
    <t>FLIGHT OPERATIONS &amp; DELAY DASHBOARD 2026</t>
  </si>
  <si>
    <t>MAX DELAY</t>
  </si>
  <si>
    <t>Delay Distribution</t>
  </si>
  <si>
    <t>Cancellation Reasons</t>
  </si>
  <si>
    <t>Operations Highlights</t>
  </si>
  <si>
    <t>• Completed Flights: 13
• Cancelled Flights: 2 (13.3%)
• Average Delay: 23.0 minutes
• Maximum Delay: 90 minutes (SG408)
• Flights ≤15 min delay: 8 (53.3%)
• Main Cancellation Causes: Technical Problem &amp; Weather</t>
  </si>
  <si>
    <t>Delay Bucket</t>
  </si>
  <si>
    <t>Reason</t>
  </si>
  <si>
    <t>0-15 min</t>
  </si>
  <si>
    <t>Technical Problem</t>
  </si>
  <si>
    <t>16-30 min</t>
  </si>
  <si>
    <t>Weather</t>
  </si>
  <si>
    <t>31-60 min</t>
  </si>
  <si>
    <t>61+ min</t>
  </si>
  <si>
    <t>ROUTE PERFORMANCE &amp; DELAY ANALYSIS 2026</t>
  </si>
  <si>
    <t>TOTAL ROUTES</t>
  </si>
  <si>
    <t>AVG ROUTE DELAY</t>
  </si>
  <si>
    <t>HIGHEST ROUTE DELAY</t>
  </si>
  <si>
    <t>Average Delay by Route</t>
  </si>
  <si>
    <t>Average Delay by Source Airport</t>
  </si>
  <si>
    <t>Average Delay by Destination Airport</t>
  </si>
  <si>
    <t>Route Performance Highlights</t>
  </si>
  <si>
    <t>• Highest Delay Route: HYD → DEL (90 min)
• Lowest Delay Route: BOM → BLR (0 min)
• Routes Analyzed: 15
• Highest Avg Source Delay: HYD (60.0 min)
• Highest Avg Destination Delay: CCU (37.5 min)
• Overall Route Avg Delay: 23.0 min</t>
  </si>
  <si>
    <t>Source</t>
  </si>
  <si>
    <t>Destination</t>
  </si>
  <si>
    <t>HYD</t>
  </si>
  <si>
    <t>CCU</t>
  </si>
  <si>
    <t>BOM</t>
  </si>
  <si>
    <t>DEL</t>
  </si>
  <si>
    <t>BLR</t>
  </si>
  <si>
    <t>DXB</t>
  </si>
  <si>
    <t>DEL → CCU</t>
  </si>
  <si>
    <t>DEL → BOM</t>
  </si>
  <si>
    <t>DEL → HYD</t>
  </si>
  <si>
    <t>DEL → DXB</t>
  </si>
  <si>
    <t>CCU → DEL</t>
  </si>
  <si>
    <t>DEL → BLR</t>
  </si>
  <si>
    <t>DXB → DEL</t>
  </si>
  <si>
    <t>BOM → BLR</t>
  </si>
  <si>
    <t>BLR → DEL</t>
  </si>
  <si>
    <t>BLR → BOM</t>
  </si>
  <si>
    <t>Air India</t>
  </si>
  <si>
    <t>SpiceJet</t>
  </si>
  <si>
    <t>Total Flights</t>
  </si>
  <si>
    <t>Average Delay (min)</t>
  </si>
  <si>
    <t>EXECUTIVE FLIGHT DELAY DASHBOARD 2026</t>
  </si>
  <si>
    <t>AVG DELAY (MIN)</t>
  </si>
  <si>
    <t>MAX DELAY (MIN)</t>
  </si>
  <si>
    <t>KEY INSIGHTS  •  Total flights: 15  •  Overall average delay: 23.0 min  •  Highest delay: HYD → DEL (90 min)  •  Data source: uploaded flight-route screenshot</t>
  </si>
  <si>
    <t>passenger_id</t>
  </si>
  <si>
    <t>flight_id</t>
  </si>
  <si>
    <t>passenger_name</t>
  </si>
  <si>
    <t>age</t>
  </si>
  <si>
    <t>gender</t>
  </si>
  <si>
    <t>travel_class</t>
  </si>
  <si>
    <t>ticket_price</t>
  </si>
  <si>
    <t>booking_date</t>
  </si>
  <si>
    <t>Rahul Sharma</t>
  </si>
  <si>
    <t>12/20/2025</t>
  </si>
  <si>
    <t>Priya Singh</t>
  </si>
  <si>
    <t>12/21/2025</t>
  </si>
  <si>
    <t>Amit Kumar</t>
  </si>
  <si>
    <t>12/22/2025</t>
  </si>
  <si>
    <t>Neha Verma</t>
  </si>
  <si>
    <t>12/25/2025</t>
  </si>
  <si>
    <t>Rohan Gupta</t>
  </si>
  <si>
    <t>12/26/2025</t>
  </si>
  <si>
    <t>Anjali Mehta</t>
  </si>
  <si>
    <t>12/28/2025</t>
  </si>
  <si>
    <t>Vikas Yadav</t>
  </si>
  <si>
    <t>12/29/2025</t>
  </si>
  <si>
    <t>Sneha Jain</t>
  </si>
  <si>
    <t>12/30/2025</t>
  </si>
  <si>
    <t>Arjun Kapoor</t>
  </si>
  <si>
    <t>01/01/2026</t>
  </si>
  <si>
    <t>Pooja Agarwal</t>
  </si>
  <si>
    <t>01/02/2026</t>
  </si>
  <si>
    <t>Karan Singh</t>
  </si>
  <si>
    <t>01/03/2026</t>
  </si>
  <si>
    <t>Simran Kaur</t>
  </si>
  <si>
    <t>01/04/2026</t>
  </si>
  <si>
    <t>Manish Tiwari</t>
  </si>
  <si>
    <t>01/05/2026</t>
  </si>
  <si>
    <t>Riya Sharma</t>
  </si>
  <si>
    <t>01/06/2026</t>
  </si>
  <si>
    <t>flight_number</t>
  </si>
  <si>
    <t>airline_id</t>
  </si>
  <si>
    <t>source_airport_id</t>
  </si>
  <si>
    <t>destination_airport_id</t>
  </si>
  <si>
    <t>flight_date</t>
  </si>
  <si>
    <t>scheduled_departure</t>
  </si>
  <si>
    <t>actual_departure</t>
  </si>
  <si>
    <t>scheduled_arrival</t>
  </si>
  <si>
    <t>actual_arrival</t>
  </si>
  <si>
    <t>status</t>
  </si>
  <si>
    <t>delay_minutes</t>
  </si>
  <si>
    <t>cancellation_reason</t>
  </si>
  <si>
    <t>6E101</t>
  </si>
  <si>
    <t>8:00:00 AM</t>
  </si>
  <si>
    <t>8:20:00 AM</t>
  </si>
  <si>
    <t>10:00:00 AM</t>
  </si>
  <si>
    <t>10:15:00 AM</t>
  </si>
  <si>
    <t>AI202</t>
  </si>
  <si>
    <t>9:00:00 AM</t>
  </si>
  <si>
    <t>9:45:00 AM</t>
  </si>
  <si>
    <t>11:00:00 AM</t>
  </si>
  <si>
    <t>11:50:00 AM</t>
  </si>
  <si>
    <t>UK303</t>
  </si>
  <si>
    <t>01/07/2026</t>
  </si>
  <si>
    <t>10:05:00 AM</t>
  </si>
  <si>
    <t>12:30:00 PM</t>
  </si>
  <si>
    <t>12:35:00 PM</t>
  </si>
  <si>
    <t>SG404</t>
  </si>
  <si>
    <t>01/08/2026</t>
  </si>
  <si>
    <t>2:00:00 PM</t>
  </si>
  <si>
    <t>2:40:00 PM</t>
  </si>
  <si>
    <t>3:30:00 PM</t>
  </si>
  <si>
    <t>4:20:00 PM</t>
  </si>
  <si>
    <t>EK505</t>
  </si>
  <si>
    <t>01/09/2026</t>
  </si>
  <si>
    <t>6:00:00 PM</t>
  </si>
  <si>
    <t>6:10:00 PM</t>
  </si>
  <si>
    <t>9:00:00 PM</t>
  </si>
  <si>
    <t>9:15:00 PM</t>
  </si>
  <si>
    <t>6E106</t>
  </si>
  <si>
    <t>01/10/2026</t>
  </si>
  <si>
    <t>7:30:00 AM</t>
  </si>
  <si>
    <t>8:55:00 AM</t>
  </si>
  <si>
    <t>AI207</t>
  </si>
  <si>
    <t>01/11/2026</t>
  </si>
  <si>
    <t>12:00:00 PM</t>
  </si>
  <si>
    <t>SG408</t>
  </si>
  <si>
    <t>01/12/2026</t>
  </si>
  <si>
    <t>3:00:00 PM</t>
  </si>
  <si>
    <t>4:30:00 PM</t>
  </si>
  <si>
    <t>5:30:00 PM</t>
  </si>
  <si>
    <t>7:00:00 PM</t>
  </si>
  <si>
    <t>UK309</t>
  </si>
  <si>
    <t>01/13/2026</t>
  </si>
  <si>
    <t>11:25:00 AM</t>
  </si>
  <si>
    <t>1:30:00 PM</t>
  </si>
  <si>
    <t>EK510</t>
  </si>
  <si>
    <t>01/14/2026</t>
  </si>
  <si>
    <t>8:00:00 PM</t>
  </si>
  <si>
    <t>8:05:00 PM</t>
  </si>
  <si>
    <t>11:00:00 PM</t>
  </si>
  <si>
    <t>11:10:00 PM</t>
  </si>
  <si>
    <t>6E111</t>
  </si>
  <si>
    <t>01/15/2026</t>
  </si>
  <si>
    <t>6:00:00 AM</t>
  </si>
  <si>
    <t>6:15:00 AM</t>
  </si>
  <si>
    <t>8:30:00 AM</t>
  </si>
  <si>
    <t>8:50:00 AM</t>
  </si>
  <si>
    <t>AI212</t>
  </si>
  <si>
    <t>01/16/2026</t>
  </si>
  <si>
    <t>1:00:00 PM</t>
  </si>
  <si>
    <t>1:50:00 PM</t>
  </si>
  <si>
    <t>SG413</t>
  </si>
  <si>
    <t>01/17/2026</t>
  </si>
  <si>
    <t>4:00:00 PM</t>
  </si>
  <si>
    <t>UK314</t>
  </si>
  <si>
    <t>01/18/2026</t>
  </si>
  <si>
    <t>9:10:00 AM</t>
  </si>
  <si>
    <t>11:30:00 AM</t>
  </si>
  <si>
    <t>11:45:00 AM</t>
  </si>
  <si>
    <t>6E115</t>
  </si>
  <si>
    <t>01/19/2026</t>
  </si>
  <si>
    <t>5:00:00 PM</t>
  </si>
  <si>
    <t>7:40:00 PM</t>
  </si>
  <si>
    <t>airport_id</t>
  </si>
  <si>
    <t>airport_code</t>
  </si>
  <si>
    <t>airport_name</t>
  </si>
  <si>
    <t>city</t>
  </si>
  <si>
    <t>country</t>
  </si>
  <si>
    <t>Indira Gandhi International Airport</t>
  </si>
  <si>
    <t>Delhi</t>
  </si>
  <si>
    <t>India</t>
  </si>
  <si>
    <t>Chhatrapati Shivaji Maharaj Airport</t>
  </si>
  <si>
    <t>Mumbai</t>
  </si>
  <si>
    <t>Kempegowda International Airport</t>
  </si>
  <si>
    <t>Bangalore</t>
  </si>
  <si>
    <t>Rajiv Gandhi International Airport</t>
  </si>
  <si>
    <t>Hyderabad</t>
  </si>
  <si>
    <t>Netaji Subhas Chandra Bose Airport</t>
  </si>
  <si>
    <t>Kolkata</t>
  </si>
  <si>
    <t>Dubai International Airport</t>
  </si>
  <si>
    <t>Dubai</t>
  </si>
  <si>
    <t>UAE</t>
  </si>
  <si>
    <t>airline_name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</si>
</sst>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&quot; yrs&quot;"/>
    <numFmt numFmtId="166" formatCode="\₹#,##0"/>
    <numFmt numFmtId="167" formatCode="0.0&quot; min&quot;"/>
    <numFmt numFmtId="168" formatCode="0&quot; min&quot;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1"/>
      <color rgb="FF17365D"/>
      <name val="Calibri"/>
    </font>
    <font>
      <b/>
      <sz val="22"/>
      <color rgb="FF0B5CAD"/>
      <name val="Calibri"/>
    </font>
    <font>
      <b/>
      <sz val="22"/>
      <color rgb="FF16A765"/>
      <name val="Calibri"/>
    </font>
    <font>
      <b/>
      <sz val="22"/>
      <color rgb="FF7A2E8E"/>
      <name val="Calibri"/>
    </font>
    <font>
      <b/>
      <sz val="11"/>
      <color rgb="FFFFFFFF"/>
      <name val="Calibri"/>
    </font>
    <font>
      <b/>
      <sz val="20"/>
      <color rgb="FF4B138F"/>
      <name val="Calibri"/>
    </font>
    <font>
      <b/>
      <sz val="10"/>
      <color rgb="FFFFFFFF"/>
      <name val="Calibri"/>
    </font>
    <font>
      <sz val="11"/>
      <color rgb="FFFFFFFF"/>
      <name val="Calibri"/>
    </font>
    <font>
      <b/>
      <sz val="13"/>
      <color rgb="FF4B138F"/>
      <name val="Calibri"/>
    </font>
    <font>
      <sz val="11"/>
      <color rgb="FF222222"/>
      <name val="Calibri"/>
    </font>
    <font>
      <i/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5CAD"/>
      </patternFill>
    </fill>
    <fill>
      <patternFill patternType="solid">
        <fgColor rgb="FF08A8C7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4B138F"/>
      </patternFill>
    </fill>
    <fill>
      <patternFill patternType="solid">
        <fgColor rgb="FFF8F8FA"/>
      </patternFill>
    </fill>
    <fill>
      <patternFill patternType="solid">
        <fgColor rgb="FFF3EFF9"/>
      </patternFill>
    </fill>
  </fills>
  <borders count="3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medium">
        <color rgb="FF0B5CAD"/>
      </left>
      <right style="medium">
        <color rgb="FF0B5CAD"/>
      </right>
      <top style="medium">
        <color rgb="FF0B5CAD"/>
      </top>
      <bottom style="medium">
        <color rgb="FF0B5CAD"/>
      </bottom>
      <diagonal/>
    </border>
    <border>
      <left style="medium">
        <color rgb="FF16A765"/>
      </left>
      <right style="medium">
        <color rgb="FF16A765"/>
      </right>
      <top style="medium">
        <color rgb="FF16A765"/>
      </top>
      <bottom style="medium">
        <color rgb="FF16A765"/>
      </bottom>
      <diagonal/>
    </border>
    <border>
      <left style="medium">
        <color rgb="FF7A2E8E"/>
      </left>
      <right style="medium">
        <color rgb="FF7A2E8E"/>
      </right>
      <top style="medium">
        <color rgb="FF7A2E8E"/>
      </top>
      <bottom style="medium">
        <color rgb="FF7A2E8E"/>
      </bottom>
      <diagonal/>
    </border>
    <border>
      <left/>
      <right/>
      <top style="medium">
        <color rgb="FF0B5CAD"/>
      </top>
      <bottom/>
      <diagonal/>
    </border>
    <border>
      <left/>
      <right style="medium">
        <color rgb="FF0B5CAD"/>
      </right>
      <top style="medium">
        <color rgb="FF0B5CAD"/>
      </top>
      <bottom/>
      <diagonal/>
    </border>
    <border>
      <left/>
      <right/>
      <top style="medium">
        <color rgb="FF0B5CAD"/>
      </top>
      <bottom style="medium">
        <color rgb="FF0B5CAD"/>
      </bottom>
      <diagonal/>
    </border>
    <border>
      <left/>
      <right style="medium">
        <color rgb="FF0B5CAD"/>
      </right>
      <top style="medium">
        <color rgb="FF0B5CAD"/>
      </top>
      <bottom style="medium">
        <color rgb="FF0B5CAD"/>
      </bottom>
      <diagonal/>
    </border>
    <border>
      <left/>
      <right/>
      <top style="medium">
        <color rgb="FF16A765"/>
      </top>
      <bottom/>
      <diagonal/>
    </border>
    <border>
      <left/>
      <right style="medium">
        <color rgb="FF16A765"/>
      </right>
      <top style="medium">
        <color rgb="FF16A765"/>
      </top>
      <bottom/>
      <diagonal/>
    </border>
    <border>
      <left/>
      <right/>
      <top style="medium">
        <color rgb="FF16A765"/>
      </top>
      <bottom style="medium">
        <color rgb="FF16A765"/>
      </bottom>
      <diagonal/>
    </border>
    <border>
      <left/>
      <right style="medium">
        <color rgb="FF16A765"/>
      </right>
      <top style="medium">
        <color rgb="FF16A765"/>
      </top>
      <bottom style="medium">
        <color rgb="FF16A765"/>
      </bottom>
      <diagonal/>
    </border>
    <border>
      <left/>
      <right/>
      <top style="medium">
        <color rgb="FF7A2E8E"/>
      </top>
      <bottom/>
      <diagonal/>
    </border>
    <border>
      <left/>
      <right style="medium">
        <color rgb="FF7A2E8E"/>
      </right>
      <top style="medium">
        <color rgb="FF7A2E8E"/>
      </top>
      <bottom/>
      <diagonal/>
    </border>
    <border>
      <left/>
      <right/>
      <top style="medium">
        <color rgb="FF7A2E8E"/>
      </top>
      <bottom style="medium">
        <color rgb="FF7A2E8E"/>
      </bottom>
      <diagonal/>
    </border>
    <border>
      <left/>
      <right style="medium">
        <color rgb="FF7A2E8E"/>
      </right>
      <top style="medium">
        <color rgb="FF7A2E8E"/>
      </top>
      <bottom style="medium">
        <color rgb="FF7A2E8E"/>
      </bottom>
      <diagonal/>
    </border>
    <border>
      <left style="medium">
        <color rgb="FF0B5CAD"/>
      </left>
      <right/>
      <top/>
      <bottom style="medium">
        <color rgb="FF0B5CAD"/>
      </bottom>
      <diagonal/>
    </border>
    <border>
      <left/>
      <right/>
      <top/>
      <bottom style="medium">
        <color rgb="FF0B5CAD"/>
      </bottom>
      <diagonal/>
    </border>
    <border>
      <left/>
      <right style="medium">
        <color rgb="FF0B5CAD"/>
      </right>
      <top/>
      <bottom style="medium">
        <color rgb="FF0B5CAD"/>
      </bottom>
      <diagonal/>
    </border>
    <border>
      <left style="medium">
        <color rgb="FF16A765"/>
      </left>
      <right/>
      <top/>
      <bottom style="medium">
        <color rgb="FF16A765"/>
      </bottom>
      <diagonal/>
    </border>
    <border>
      <left/>
      <right/>
      <top/>
      <bottom style="medium">
        <color rgb="FF16A765"/>
      </bottom>
      <diagonal/>
    </border>
    <border>
      <left/>
      <right style="medium">
        <color rgb="FF16A765"/>
      </right>
      <top/>
      <bottom style="medium">
        <color rgb="FF16A765"/>
      </bottom>
      <diagonal/>
    </border>
    <border>
      <left style="medium">
        <color rgb="FF7A2E8E"/>
      </left>
      <right/>
      <top/>
      <bottom style="medium">
        <color rgb="FF7A2E8E"/>
      </bottom>
      <diagonal/>
    </border>
    <border>
      <left/>
      <right/>
      <top/>
      <bottom style="medium">
        <color rgb="FF7A2E8E"/>
      </bottom>
      <diagonal/>
    </border>
    <border>
      <left/>
      <right style="medium">
        <color rgb="FF7A2E8E"/>
      </right>
      <top/>
      <bottom style="medium">
        <color rgb="FF7A2E8E"/>
      </bottom>
      <diagonal/>
    </border>
    <border>
      <left/>
      <right/>
      <top/>
      <bottom style="thin">
        <color rgb="FFD9D9E0"/>
      </bottom>
      <diagonal/>
    </border>
    <border>
      <left style="medium">
        <color rgb="FF4B138F"/>
      </left>
      <right style="thin">
        <color rgb="FFD0D0D0"/>
      </right>
      <top style="medium">
        <color rgb="FF4B138F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4B138F"/>
      </top>
      <bottom style="thin">
        <color rgb="FFD0D0D0"/>
      </bottom>
      <diagonal/>
    </border>
    <border>
      <left style="thin">
        <color rgb="FFD0D0D0"/>
      </left>
      <right style="medium">
        <color rgb="FF4B138F"/>
      </right>
      <top style="medium">
        <color rgb="FF4B138F"/>
      </top>
      <bottom style="thin">
        <color rgb="FFD0D0D0"/>
      </bottom>
      <diagonal/>
    </border>
    <border>
      <left style="medium">
        <color rgb="FF4B138F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4B138F"/>
      </right>
      <top style="thin">
        <color rgb="FFD0D0D0"/>
      </top>
      <bottom style="thin">
        <color rgb="FFD0D0D0"/>
      </bottom>
      <diagonal/>
    </border>
    <border>
      <left style="medium">
        <color rgb="FF4B138F"/>
      </left>
      <right style="thin">
        <color rgb="FFD0D0D0"/>
      </right>
      <top style="thin">
        <color rgb="FFD0D0D0"/>
      </top>
      <bottom style="medium">
        <color rgb="FF4B138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4B138F"/>
      </bottom>
      <diagonal/>
    </border>
    <border>
      <left style="thin">
        <color rgb="FFD0D0D0"/>
      </left>
      <right style="medium">
        <color rgb="FF4B138F"/>
      </right>
      <top style="thin">
        <color rgb="FFD0D0D0"/>
      </top>
      <bottom style="medium">
        <color rgb="FF4B138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0" xfId="0" applyFont="1" applyFill="1"/>
    <xf numFmtId="0" fontId="3" fillId="5" borderId="0" xfId="0" applyFont="1" applyFill="1" applyAlignment="1">
      <alignment horizontal="center" vertical="center" wrapText="1"/>
    </xf>
    <xf numFmtId="0" fontId="0" fillId="4" borderId="0" xfId="0" applyFill="1"/>
    <xf numFmtId="0" fontId="7" fillId="6" borderId="26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4" fontId="0" fillId="0" borderId="26" xfId="0" applyNumberFormat="1" applyBorder="1" applyAlignment="1">
      <alignment vertical="center"/>
    </xf>
    <xf numFmtId="0" fontId="10" fillId="0" borderId="0" xfId="0" applyFont="1"/>
    <xf numFmtId="0" fontId="13" fillId="0" borderId="0" xfId="0" applyFont="1"/>
    <xf numFmtId="0" fontId="11" fillId="4" borderId="0" xfId="0" applyFont="1" applyFill="1" applyAlignment="1">
      <alignment horizontal="center" vertical="center"/>
    </xf>
    <xf numFmtId="0" fontId="0" fillId="0" borderId="0" xfId="0"/>
    <xf numFmtId="0" fontId="12" fillId="7" borderId="27" xfId="0" applyFont="1" applyFill="1" applyBorder="1" applyAlignment="1">
      <alignment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67" fontId="8" fillId="8" borderId="0" xfId="0" applyNumberFormat="1" applyFont="1" applyFill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/>
    <xf numFmtId="166" fontId="8" fillId="8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8" fontId="8" fillId="8" borderId="0" xfId="0" applyNumberFormat="1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4" borderId="2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" fontId="4" fillId="4" borderId="2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4" borderId="3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164" fontId="5" fillId="4" borderId="3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" fontId="6" fillId="4" borderId="4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12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Delay by Route (min)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5.5436507936507937E-2"/>
          <c:w val="0.96743589743589742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Dashboard!$D$41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Dashboard!$B$23:$B$37</c:f>
              <c:strCache>
                <c:ptCount val="15"/>
                <c:pt idx="6">
                  <c:v>BLR → DEL</c:v>
                </c:pt>
                <c:pt idx="7">
                  <c:v>HYD → DEL</c:v>
                </c:pt>
                <c:pt idx="8">
                  <c:v>DEL → CCU</c:v>
                </c:pt>
                <c:pt idx="9">
                  <c:v>DXB → DEL</c:v>
                </c:pt>
                <c:pt idx="10">
                  <c:v>DEL → HYD</c:v>
                </c:pt>
                <c:pt idx="11">
                  <c:v>BOM → CCU</c:v>
                </c:pt>
                <c:pt idx="12">
                  <c:v>BLR → BOM</c:v>
                </c:pt>
                <c:pt idx="13">
                  <c:v>CCU → DEL</c:v>
                </c:pt>
                <c:pt idx="14">
                  <c:v>HYD → BOM</c:v>
                </c:pt>
              </c:strCache>
            </c:strRef>
          </c:cat>
          <c:val>
            <c:numRef>
              <c:f>Dashboard!$D$23:$D$37</c:f>
              <c:numCache>
                <c:formatCode>General</c:formatCode>
                <c:ptCount val="15"/>
                <c:pt idx="6">
                  <c:v>0</c:v>
                </c:pt>
                <c:pt idx="7">
                  <c:v>90</c:v>
                </c:pt>
                <c:pt idx="8">
                  <c:v>25</c:v>
                </c:pt>
                <c:pt idx="9">
                  <c:v>5</c:v>
                </c:pt>
                <c:pt idx="10">
                  <c:v>15</c:v>
                </c:pt>
                <c:pt idx="11">
                  <c:v>50</c:v>
                </c:pt>
                <c:pt idx="12">
                  <c:v>0</c:v>
                </c:pt>
                <c:pt idx="13">
                  <c:v>10</c:v>
                </c:pt>
                <c:pt idx="14">
                  <c:v>30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8209536"/>
        <c:axId val="158211456"/>
      </c:barChart>
      <c:catAx>
        <c:axId val="158209536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8211456"/>
        <c:crosses val="autoZero"/>
        <c:auto val="1"/>
        <c:lblAlgn val="ctr"/>
        <c:lblOffset val="100"/>
        <c:noMultiLvlLbl val="1"/>
      </c:catAx>
      <c:valAx>
        <c:axId val="158211456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Route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82095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Flights by Source Airport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5.9700854700854698E-2"/>
          <c:y val="0"/>
          <c:w val="0.94029914529914527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Dashboard!$G$41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Dashboard!$F$42:$F$47</c:f>
              <c:strCache>
                <c:ptCount val="6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</c:strCache>
            </c:strRef>
          </c:cat>
          <c:val>
            <c:numRef>
              <c:f>Dashboard!$G$42:$G$47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8257920"/>
        <c:axId val="158259840"/>
      </c:barChart>
      <c:catAx>
        <c:axId val="15825792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Airport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8259840"/>
        <c:crosses val="autoZero"/>
        <c:auto val="1"/>
        <c:lblAlgn val="ctr"/>
        <c:lblOffset val="100"/>
        <c:noMultiLvlLbl val="1"/>
      </c:catAx>
      <c:valAx>
        <c:axId val="1582598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Flights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825792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Flight Share by Destination</a:t>
            </a:r>
          </a:p>
        </c:rich>
      </c:tx>
      <c:layout/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Dashboard!$K$41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Dashboard!$J$42:$J$47</c:f>
              <c:strCache>
                <c:ptCount val="6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</c:strCache>
            </c:strRef>
          </c:cat>
          <c:val>
            <c:numRef>
              <c:f>Dashboard!$K$42:$K$47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Delay by Source Airport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Dashboard!$H$41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Dashboard!$F$42:$F$47</c:f>
              <c:strCache>
                <c:ptCount val="6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</c:strCache>
            </c:strRef>
          </c:cat>
          <c:val>
            <c:numRef>
              <c:f>Dashboard!$H$42:$H$47</c:f>
              <c:numCache>
                <c:formatCode>General</c:formatCode>
                <c:ptCount val="6"/>
                <c:pt idx="0">
                  <c:v>13.33333333333333</c:v>
                </c:pt>
                <c:pt idx="1">
                  <c:v>31.666666666666671</c:v>
                </c:pt>
                <c:pt idx="2">
                  <c:v>10</c:v>
                </c:pt>
                <c:pt idx="3">
                  <c:v>15</c:v>
                </c:pt>
                <c:pt idx="4">
                  <c:v>5</c:v>
                </c:pt>
                <c:pt idx="5">
                  <c:v>60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81377664"/>
        <c:axId val="181392128"/>
      </c:barChart>
      <c:catAx>
        <c:axId val="18137766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Airport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81392128"/>
        <c:crosses val="autoZero"/>
        <c:auto val="1"/>
        <c:lblAlgn val="ctr"/>
        <c:lblOffset val="100"/>
        <c:noMultiLvlLbl val="1"/>
      </c:catAx>
      <c:valAx>
        <c:axId val="1813921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8137766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Flights by Destination Airport</a:t>
            </a:r>
          </a:p>
        </c:rich>
      </c:tx>
      <c:layout>
        <c:manualLayout>
          <c:xMode val="edge"/>
          <c:yMode val="edge"/>
          <c:x val="0.32635192307692307"/>
          <c:y val="2.5198412698412699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Dashboard!$K$41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Dashboard!$J$42:$J$47</c:f>
              <c:strCache>
                <c:ptCount val="6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</c:strCache>
            </c:strRef>
          </c:cat>
          <c:val>
            <c:numRef>
              <c:f>Dashboard!$K$42:$K$47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90396288"/>
        <c:axId val="190406656"/>
      </c:barChart>
      <c:catAx>
        <c:axId val="19039628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Airport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90406656"/>
        <c:crosses val="autoZero"/>
        <c:auto val="1"/>
        <c:lblAlgn val="ctr"/>
        <c:lblOffset val="100"/>
        <c:noMultiLvlLbl val="1"/>
      </c:catAx>
      <c:valAx>
        <c:axId val="1904066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Flights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039628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Route Delay Values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6.4675925925925928E-2"/>
          <c:y val="0"/>
          <c:w val="0.93532407407407403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Dashboard!$D$41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Dashboard!$B$23:$B$37</c:f>
              <c:strCache>
                <c:ptCount val="15"/>
                <c:pt idx="6">
                  <c:v>BLR → DEL</c:v>
                </c:pt>
                <c:pt idx="7">
                  <c:v>HYD → DEL</c:v>
                </c:pt>
                <c:pt idx="8">
                  <c:v>DEL → CCU</c:v>
                </c:pt>
                <c:pt idx="9">
                  <c:v>DXB → DEL</c:v>
                </c:pt>
                <c:pt idx="10">
                  <c:v>DEL → HYD</c:v>
                </c:pt>
                <c:pt idx="11">
                  <c:v>BOM → CCU</c:v>
                </c:pt>
                <c:pt idx="12">
                  <c:v>BLR → BOM</c:v>
                </c:pt>
                <c:pt idx="13">
                  <c:v>CCU → DEL</c:v>
                </c:pt>
                <c:pt idx="14">
                  <c:v>HYD → BOM</c:v>
                </c:pt>
              </c:strCache>
            </c:strRef>
          </c:cat>
          <c:val>
            <c:numRef>
              <c:f>Dashboard!$D$23:$D$37</c:f>
              <c:numCache>
                <c:formatCode>General</c:formatCode>
                <c:ptCount val="15"/>
                <c:pt idx="6">
                  <c:v>0</c:v>
                </c:pt>
                <c:pt idx="7">
                  <c:v>90</c:v>
                </c:pt>
                <c:pt idx="8">
                  <c:v>25</c:v>
                </c:pt>
                <c:pt idx="9">
                  <c:v>5</c:v>
                </c:pt>
                <c:pt idx="10">
                  <c:v>15</c:v>
                </c:pt>
                <c:pt idx="11">
                  <c:v>50</c:v>
                </c:pt>
                <c:pt idx="12">
                  <c:v>0</c:v>
                </c:pt>
                <c:pt idx="13">
                  <c:v>10</c:v>
                </c:pt>
                <c:pt idx="14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46848"/>
        <c:axId val="192448768"/>
      </c:barChart>
      <c:catAx>
        <c:axId val="19244684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Route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92448768"/>
        <c:crosses val="autoZero"/>
        <c:auto val="1"/>
        <c:lblAlgn val="ctr"/>
        <c:lblOffset val="100"/>
        <c:noMultiLvlLbl val="1"/>
      </c:catAx>
      <c:valAx>
        <c:axId val="1924487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244684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'Executive Overview'!$O$36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'Executive Overview'!$N$37:$N$38</c:f>
              <c:strCache>
                <c:ptCount val="2"/>
                <c:pt idx="0">
                  <c:v>Completed</c:v>
                </c:pt>
                <c:pt idx="1">
                  <c:v>Cancelled</c:v>
                </c:pt>
              </c:strCache>
            </c:strRef>
          </c:cat>
          <c:val>
            <c:numRef>
              <c:f>'Executive Overview'!$O$37:$O$38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'Executive Overview'!$Q$36</c:f>
              <c:strCache>
                <c:ptCount val="1"/>
                <c:pt idx="0">
                  <c:v>Passengers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'Executive Overview'!$P$37:$P$38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'Executive Overview'!$Q$37:$Q$38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Overview'!$S$36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Overview'!$R$37:$R$41</c:f>
              <c:strCache>
                <c:ptCount val="5"/>
                <c:pt idx="0">
                  <c:v>HYD → DEL</c:v>
                </c:pt>
                <c:pt idx="1">
                  <c:v>BOM → CCU</c:v>
                </c:pt>
                <c:pt idx="2">
                  <c:v>BOM → DEL</c:v>
                </c:pt>
                <c:pt idx="3">
                  <c:v>BLR → HYD</c:v>
                </c:pt>
                <c:pt idx="4">
                  <c:v>HYD → BOM</c:v>
                </c:pt>
              </c:strCache>
            </c:strRef>
          </c:cat>
          <c:val>
            <c:numRef>
              <c:f>'Executive Overview'!$S$37:$S$41</c:f>
              <c:numCache>
                <c:formatCode>General</c:formatCode>
                <c:ptCount val="5"/>
                <c:pt idx="0">
                  <c:v>90</c:v>
                </c:pt>
                <c:pt idx="1">
                  <c:v>50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053312"/>
        <c:axId val="157055232"/>
      </c:barChart>
      <c:catAx>
        <c:axId val="15705331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Delay (min)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7055232"/>
        <c:crosses val="autoZero"/>
        <c:auto val="1"/>
        <c:lblAlgn val="ctr"/>
        <c:lblOffset val="100"/>
        <c:noMultiLvlLbl val="1"/>
      </c:catAx>
      <c:valAx>
        <c:axId val="157055232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Route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0533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'Passenger Dashboard'!$O$36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'Passenger Dashboard'!$N$37:$N$38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'Passenger Dashboard'!$O$37:$O$38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'Passenger Dashboard'!$Q$36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'Passenger Dashboard'!$P$37:$P$39</c:f>
              <c:strCache>
                <c:ptCount val="3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</c:strCache>
            </c:strRef>
          </c:cat>
          <c:val>
            <c:numRef>
              <c:f>'Passenger Dashboard'!$Q$37:$Q$39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145344"/>
        <c:axId val="157147136"/>
      </c:barChart>
      <c:catAx>
        <c:axId val="1571453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147136"/>
        <c:crosses val="autoZero"/>
        <c:auto val="1"/>
        <c:lblAlgn val="ctr"/>
        <c:lblOffset val="100"/>
        <c:noMultiLvlLbl val="1"/>
      </c:catAx>
      <c:valAx>
        <c:axId val="157147136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Passenger 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145344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'Passenger Dashboard'!$S$36</c:f>
              <c:strCache>
                <c:ptCount val="1"/>
                <c:pt idx="0">
                  <c:v>Passengers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'Passenger Dashboard'!$R$37:$R$38</c:f>
              <c:strCache>
                <c:ptCount val="2"/>
                <c:pt idx="0">
                  <c:v>Economy</c:v>
                </c:pt>
                <c:pt idx="1">
                  <c:v>Business</c:v>
                </c:pt>
              </c:strCache>
            </c:strRef>
          </c:cat>
          <c:val>
            <c:numRef>
              <c:f>'Passenger Dashboard'!$S$37:$S$38</c:f>
              <c:numCache>
                <c:formatCode>General</c:formatCode>
                <c:ptCount val="2"/>
                <c:pt idx="0">
                  <c:v>10</c:v>
                </c:pt>
                <c:pt idx="1">
                  <c:v>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'Flight Operations Dashboard'!$O$36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'Flight Operations Dashboard'!$N$37:$N$40</c:f>
              <c:strCache>
                <c:ptCount val="4"/>
                <c:pt idx="0">
                  <c:v>0-15 min</c:v>
                </c:pt>
                <c:pt idx="1">
                  <c:v>16-30 min</c:v>
                </c:pt>
                <c:pt idx="2">
                  <c:v>31-60 min</c:v>
                </c:pt>
                <c:pt idx="3">
                  <c:v>61+ min</c:v>
                </c:pt>
              </c:strCache>
            </c:strRef>
          </c:cat>
          <c:val>
            <c:numRef>
              <c:f>'Flight Operations Dashboard'!$O$37:$O$40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240320"/>
        <c:axId val="157242112"/>
      </c:barChart>
      <c:catAx>
        <c:axId val="157240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242112"/>
        <c:crosses val="autoZero"/>
        <c:auto val="1"/>
        <c:lblAlgn val="ctr"/>
        <c:lblOffset val="100"/>
        <c:noMultiLvlLbl val="1"/>
      </c:catAx>
      <c:valAx>
        <c:axId val="157242112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Flights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24032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'Flight Operations Dashboard'!$Q$36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'Flight Operations Dashboard'!$P$37:$P$38</c:f>
              <c:strCache>
                <c:ptCount val="2"/>
                <c:pt idx="0">
                  <c:v>Completed</c:v>
                </c:pt>
                <c:pt idx="1">
                  <c:v>Cancelled</c:v>
                </c:pt>
              </c:strCache>
            </c:strRef>
          </c:cat>
          <c:val>
            <c:numRef>
              <c:f>'Flight Operations Dashboard'!$Q$37:$Q$38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'Flight Operations Dashboard'!$S$36</c:f>
              <c:strCache>
                <c:ptCount val="1"/>
                <c:pt idx="0">
                  <c:v>Flights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'Flight Operations Dashboard'!$R$37:$R$38</c:f>
              <c:strCache>
                <c:ptCount val="2"/>
                <c:pt idx="0">
                  <c:v>Technical Problem</c:v>
                </c:pt>
                <c:pt idx="1">
                  <c:v>Weather</c:v>
                </c:pt>
              </c:strCache>
            </c:strRef>
          </c:cat>
          <c:val>
            <c:numRef>
              <c:f>'Flight Operations Dashboard'!$S$37:$S$38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278208"/>
        <c:axId val="157279744"/>
      </c:barChart>
      <c:catAx>
        <c:axId val="157278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279744"/>
        <c:crosses val="autoZero"/>
        <c:auto val="1"/>
        <c:lblAlgn val="ctr"/>
        <c:lblOffset val="100"/>
        <c:noMultiLvlLbl val="1"/>
      </c:catAx>
      <c:valAx>
        <c:axId val="157279744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Cancelled Flights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278208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'Route Performance Dashboard'!$O$36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'Route Performance Dashboard'!$N$37:$N$51</c:f>
              <c:strCache>
                <c:ptCount val="15"/>
                <c:pt idx="0">
                  <c:v>HYD → DEL</c:v>
                </c:pt>
                <c:pt idx="1">
                  <c:v>BOM → CCU</c:v>
                </c:pt>
                <c:pt idx="2">
                  <c:v>BOM → DEL</c:v>
                </c:pt>
                <c:pt idx="3">
                  <c:v>BLR → HYD</c:v>
                </c:pt>
                <c:pt idx="4">
                  <c:v>HYD → BOM</c:v>
                </c:pt>
                <c:pt idx="5">
                  <c:v>DEL → CCU</c:v>
                </c:pt>
                <c:pt idx="6">
                  <c:v>DEL → BOM</c:v>
                </c:pt>
                <c:pt idx="7">
                  <c:v>DEL → HYD</c:v>
                </c:pt>
                <c:pt idx="8">
                  <c:v>DEL → DXB</c:v>
                </c:pt>
                <c:pt idx="9">
                  <c:v>CCU → DEL</c:v>
                </c:pt>
                <c:pt idx="10">
                  <c:v>DEL → BLR</c:v>
                </c:pt>
                <c:pt idx="11">
                  <c:v>DXB → DEL</c:v>
                </c:pt>
                <c:pt idx="12">
                  <c:v>BOM → BLR</c:v>
                </c:pt>
                <c:pt idx="13">
                  <c:v>BLR → DEL</c:v>
                </c:pt>
                <c:pt idx="14">
                  <c:v>BLR → BOM</c:v>
                </c:pt>
              </c:strCache>
            </c:strRef>
          </c:cat>
          <c:val>
            <c:numRef>
              <c:f>'Route Performance Dashboard'!$O$37:$O$51</c:f>
              <c:numCache>
                <c:formatCode>General</c:formatCode>
                <c:ptCount val="15"/>
                <c:pt idx="0">
                  <c:v>90</c:v>
                </c:pt>
                <c:pt idx="1">
                  <c:v>50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  <c:pt idx="7">
                  <c:v>15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330048"/>
        <c:axId val="157336320"/>
      </c:barChart>
      <c:catAx>
        <c:axId val="157330048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Delay (min)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7336320"/>
        <c:crosses val="autoZero"/>
        <c:auto val="1"/>
        <c:lblAlgn val="ctr"/>
        <c:lblOffset val="100"/>
        <c:noMultiLvlLbl val="1"/>
      </c:catAx>
      <c:valAx>
        <c:axId val="15733632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5733004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'Route Performance Dashboard'!$Q$36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'Route Performance Dashboard'!$P$37:$P$42</c:f>
              <c:strCache>
                <c:ptCount val="6"/>
                <c:pt idx="0">
                  <c:v>HYD</c:v>
                </c:pt>
                <c:pt idx="1">
                  <c:v>BOM</c:v>
                </c:pt>
                <c:pt idx="2">
                  <c:v>DEL</c:v>
                </c:pt>
                <c:pt idx="3">
                  <c:v>BLR</c:v>
                </c:pt>
                <c:pt idx="4">
                  <c:v>CCU</c:v>
                </c:pt>
                <c:pt idx="5">
                  <c:v>DXB</c:v>
                </c:pt>
              </c:strCache>
            </c:strRef>
          </c:cat>
          <c:val>
            <c:numRef>
              <c:f>'Route Performance Dashboard'!$Q$37:$Q$42</c:f>
              <c:numCache>
                <c:formatCode>General</c:formatCode>
                <c:ptCount val="6"/>
                <c:pt idx="0">
                  <c:v>60</c:v>
                </c:pt>
                <c:pt idx="1">
                  <c:v>31.666666666666671</c:v>
                </c:pt>
                <c:pt idx="2">
                  <c:v>15</c:v>
                </c:pt>
                <c:pt idx="3">
                  <c:v>13.33333333333333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356800"/>
        <c:axId val="157358336"/>
      </c:barChart>
      <c:catAx>
        <c:axId val="1573568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358336"/>
        <c:crosses val="autoZero"/>
        <c:auto val="1"/>
        <c:lblAlgn val="ctr"/>
        <c:lblOffset val="100"/>
        <c:noMultiLvlLbl val="1"/>
      </c:catAx>
      <c:valAx>
        <c:axId val="15735833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Delay (min)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35680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'Route Performance Dashboard'!$S$36</c:f>
              <c:strCache>
                <c:ptCount val="1"/>
                <c:pt idx="0">
                  <c:v>Avg Delay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'Route Performance Dashboard'!$R$37:$R$42</c:f>
              <c:strCache>
                <c:ptCount val="6"/>
                <c:pt idx="0">
                  <c:v>CCU</c:v>
                </c:pt>
                <c:pt idx="1">
                  <c:v>DEL</c:v>
                </c:pt>
                <c:pt idx="2">
                  <c:v>HYD</c:v>
                </c:pt>
                <c:pt idx="3">
                  <c:v>BOM</c:v>
                </c:pt>
                <c:pt idx="4">
                  <c:v>DXB</c:v>
                </c:pt>
                <c:pt idx="5">
                  <c:v>BLR</c:v>
                </c:pt>
              </c:strCache>
            </c:strRef>
          </c:cat>
          <c:val>
            <c:numRef>
              <c:f>'Route Performance Dashboard'!$S$37:$S$42</c:f>
              <c:numCache>
                <c:formatCode>General</c:formatCode>
                <c:ptCount val="6"/>
                <c:pt idx="0">
                  <c:v>37.5</c:v>
                </c:pt>
                <c:pt idx="1">
                  <c:v>30</c:v>
                </c:pt>
                <c:pt idx="2">
                  <c:v>27.5</c:v>
                </c:pt>
                <c:pt idx="3">
                  <c:v>16.666666666666671</c:v>
                </c:pt>
                <c:pt idx="4">
                  <c:v>10</c:v>
                </c:pt>
                <c:pt idx="5">
                  <c:v>2.5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57391872"/>
        <c:axId val="157397760"/>
      </c:barChart>
      <c:catAx>
        <c:axId val="1573918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397760"/>
        <c:crosses val="autoZero"/>
        <c:auto val="1"/>
        <c:lblAlgn val="ctr"/>
        <c:lblOffset val="100"/>
        <c:noMultiLvlLbl val="1"/>
      </c:catAx>
      <c:valAx>
        <c:axId val="15739776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Delay (min)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73918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Cancellations!$A$3:$B$3</c:f>
              <c:strCache>
                <c:ptCount val="1"/>
                <c:pt idx="0">
                  <c:v>SG413 SpiceJet</c:v>
                </c:pt>
              </c:strCache>
            </c:strRef>
          </c:tx>
          <c:explosion val="25"/>
          <c:cat>
            <c:strRef>
              <c:f>Cancellations!$C$1:$C$2</c:f>
              <c:strCache>
                <c:ptCount val="2"/>
                <c:pt idx="0">
                  <c:v>cancellation_reason</c:v>
                </c:pt>
                <c:pt idx="1">
                  <c:v>Technical Problem</c:v>
                </c:pt>
              </c:strCache>
            </c:strRef>
          </c:cat>
          <c:val>
            <c:numRef>
              <c:f>Cancellations!$C$3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7458223972003503E-2"/>
          <c:y val="0.14814814814814814"/>
        </c:manualLayout>
      </c:layout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Cancellations!$A$1:$A$3</c:f>
              <c:strCache>
                <c:ptCount val="1"/>
                <c:pt idx="0">
                  <c:v>flight_number AI207 SG413</c:v>
                </c:pt>
              </c:strCache>
            </c:strRef>
          </c:tx>
          <c:val>
            <c:numRef>
              <c:f>Cancellations!$A$4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33568"/>
        <c:axId val="265935104"/>
      </c:areaChart>
      <c:catAx>
        <c:axId val="265933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65935104"/>
        <c:crosses val="autoZero"/>
        <c:auto val="1"/>
        <c:lblAlgn val="ctr"/>
        <c:lblOffset val="100"/>
        <c:noMultiLvlLbl val="0"/>
      </c:catAx>
      <c:valAx>
        <c:axId val="2659351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65933568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'Passenger Data'!$G$1</c:f>
              <c:strCache>
                <c:ptCount val="1"/>
                <c:pt idx="0">
                  <c:v>ticket_price</c:v>
                </c:pt>
              </c:strCache>
            </c:strRef>
          </c:tx>
          <c:explosion val="25"/>
          <c:val>
            <c:numRef>
              <c:f>'Passenger Data'!$G$2:$G$16</c:f>
              <c:numCache>
                <c:formatCode>#,##0.00</c:formatCode>
                <c:ptCount val="15"/>
                <c:pt idx="0">
                  <c:v>5600</c:v>
                </c:pt>
                <c:pt idx="1">
                  <c:v>5600</c:v>
                </c:pt>
                <c:pt idx="2">
                  <c:v>12500</c:v>
                </c:pt>
                <c:pt idx="3">
                  <c:v>6200</c:v>
                </c:pt>
                <c:pt idx="4">
                  <c:v>4800</c:v>
                </c:pt>
                <c:pt idx="5">
                  <c:v>25000</c:v>
                </c:pt>
                <c:pt idx="6">
                  <c:v>4500</c:v>
                </c:pt>
                <c:pt idx="7">
                  <c:v>5100</c:v>
                </c:pt>
                <c:pt idx="8">
                  <c:v>11000</c:v>
                </c:pt>
                <c:pt idx="9">
                  <c:v>22000</c:v>
                </c:pt>
                <c:pt idx="10">
                  <c:v>6000</c:v>
                </c:pt>
                <c:pt idx="11">
                  <c:v>5800</c:v>
                </c:pt>
                <c:pt idx="12">
                  <c:v>9000</c:v>
                </c:pt>
                <c:pt idx="13">
                  <c:v>5200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771525</xdr:colOff>
      <xdr:row>8</xdr:row>
      <xdr:rowOff>0</xdr:rowOff>
    </xdr:from>
    <xdr:ext cx="46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542925</xdr:colOff>
      <xdr:row>7</xdr:row>
      <xdr:rowOff>180975</xdr:rowOff>
    </xdr:from>
    <xdr:ext cx="432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4680000" cy="25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57150</xdr:colOff>
      <xdr:row>22</xdr:row>
      <xdr:rowOff>66675</xdr:rowOff>
    </xdr:from>
    <xdr:ext cx="4680000" cy="252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514350</xdr:colOff>
      <xdr:row>22</xdr:row>
      <xdr:rowOff>76200</xdr:rowOff>
    </xdr:from>
    <xdr:ext cx="4320000" cy="25200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40000" cy="255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3240000" cy="2556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240000" cy="21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40000" cy="255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3240000" cy="2556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240000" cy="2232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40000" cy="255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3240000" cy="2556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240000" cy="2232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40000" cy="255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3240000" cy="2556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3240000" cy="2232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57150</xdr:rowOff>
    </xdr:from>
    <xdr:to>
      <xdr:col>10</xdr:col>
      <xdr:colOff>552450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</xdr:row>
      <xdr:rowOff>95250</xdr:rowOff>
    </xdr:from>
    <xdr:to>
      <xdr:col>18</xdr:col>
      <xdr:colOff>381000</xdr:colOff>
      <xdr:row>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</xdr:row>
      <xdr:rowOff>19050</xdr:rowOff>
    </xdr:from>
    <xdr:to>
      <xdr:col>15</xdr:col>
      <xdr:colOff>476250</xdr:colOff>
      <xdr:row>15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irport%20&amp;%20Cancellation%20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port &amp; Cancellation Dashboa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2:L47"/>
  <sheetViews>
    <sheetView showGridLines="0" tabSelected="1" workbookViewId="0">
      <pane ySplit="4" topLeftCell="A5" activePane="bottomLeft" state="frozen"/>
      <selection pane="bottomLeft" activeCell="J39" sqref="J39"/>
    </sheetView>
  </sheetViews>
  <sheetFormatPr defaultRowHeight="15" x14ac:dyDescent="0.25"/>
  <cols>
    <col min="1" max="1" width="3" customWidth="1"/>
    <col min="2" max="4" width="15" customWidth="1"/>
    <col min="5" max="5" width="3" customWidth="1"/>
    <col min="6" max="8" width="15" customWidth="1"/>
    <col min="9" max="9" width="3" customWidth="1"/>
    <col min="10" max="12" width="15" customWidth="1"/>
    <col min="13" max="13" width="3" customWidth="1"/>
  </cols>
  <sheetData>
    <row r="2" spans="2:12" x14ac:dyDescent="0.25">
      <c r="B2" s="57" t="s">
        <v>85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2:12" x14ac:dyDescent="0.25">
      <c r="B5" s="33" t="s">
        <v>1</v>
      </c>
      <c r="C5" s="34"/>
      <c r="D5" s="35"/>
      <c r="F5" s="42" t="s">
        <v>86</v>
      </c>
      <c r="G5" s="43"/>
      <c r="H5" s="44"/>
      <c r="J5" s="30" t="s">
        <v>87</v>
      </c>
      <c r="K5" s="31"/>
      <c r="L5" s="32"/>
    </row>
    <row r="6" spans="2:12" x14ac:dyDescent="0.25">
      <c r="B6" s="36">
        <f>SUM('Flight Data'!C2:C16)</f>
        <v>15</v>
      </c>
      <c r="C6" s="37"/>
      <c r="D6" s="38"/>
      <c r="F6" s="45">
        <f>AVERAGE('Flight Data'!D2:D16)</f>
        <v>23</v>
      </c>
      <c r="G6" s="46"/>
      <c r="H6" s="47"/>
      <c r="J6" s="51">
        <f>MAX('Flight Data'!D2:D16)</f>
        <v>90</v>
      </c>
      <c r="K6" s="52"/>
      <c r="L6" s="53"/>
    </row>
    <row r="7" spans="2:12" x14ac:dyDescent="0.25">
      <c r="B7" s="39"/>
      <c r="C7" s="40"/>
      <c r="D7" s="41"/>
      <c r="F7" s="48"/>
      <c r="G7" s="49"/>
      <c r="H7" s="50"/>
      <c r="J7" s="54"/>
      <c r="K7" s="55"/>
      <c r="L7" s="56"/>
    </row>
    <row r="29" spans="2:4" x14ac:dyDescent="0.25">
      <c r="B29" t="s">
        <v>79</v>
      </c>
      <c r="C29">
        <v>1</v>
      </c>
      <c r="D29">
        <v>0</v>
      </c>
    </row>
    <row r="30" spans="2:4" x14ac:dyDescent="0.25">
      <c r="B30" t="s">
        <v>17</v>
      </c>
      <c r="C30">
        <v>1</v>
      </c>
      <c r="D30">
        <v>90</v>
      </c>
    </row>
    <row r="31" spans="2:4" x14ac:dyDescent="0.25">
      <c r="B31" t="s">
        <v>71</v>
      </c>
      <c r="C31">
        <v>1</v>
      </c>
      <c r="D31">
        <v>25</v>
      </c>
    </row>
    <row r="32" spans="2:4" x14ac:dyDescent="0.25">
      <c r="B32" t="s">
        <v>77</v>
      </c>
      <c r="C32">
        <v>1</v>
      </c>
      <c r="D32">
        <v>5</v>
      </c>
    </row>
    <row r="33" spans="2:11" x14ac:dyDescent="0.25">
      <c r="B33" t="s">
        <v>73</v>
      </c>
      <c r="C33">
        <v>1</v>
      </c>
      <c r="D33">
        <v>15</v>
      </c>
    </row>
    <row r="34" spans="2:11" x14ac:dyDescent="0.25">
      <c r="B34" t="s">
        <v>20</v>
      </c>
      <c r="C34">
        <v>1</v>
      </c>
      <c r="D34">
        <v>50</v>
      </c>
    </row>
    <row r="35" spans="2:11" x14ac:dyDescent="0.25">
      <c r="B35" t="s">
        <v>80</v>
      </c>
      <c r="C35">
        <v>1</v>
      </c>
      <c r="D35">
        <v>0</v>
      </c>
    </row>
    <row r="36" spans="2:11" x14ac:dyDescent="0.25">
      <c r="B36" t="s">
        <v>75</v>
      </c>
      <c r="C36">
        <v>1</v>
      </c>
      <c r="D36">
        <v>10</v>
      </c>
    </row>
    <row r="37" spans="2:11" x14ac:dyDescent="0.25">
      <c r="B37" t="s">
        <v>23</v>
      </c>
      <c r="C37">
        <v>1</v>
      </c>
      <c r="D37">
        <v>30</v>
      </c>
    </row>
    <row r="39" spans="2:11" x14ac:dyDescent="0.25">
      <c r="B39" s="10"/>
    </row>
    <row r="40" spans="2:11" ht="15" customHeight="1" x14ac:dyDescent="0.25">
      <c r="B40" s="4" t="s">
        <v>88</v>
      </c>
    </row>
    <row r="41" spans="2:11" x14ac:dyDescent="0.25">
      <c r="B41" s="3" t="s">
        <v>13</v>
      </c>
      <c r="C41" s="3" t="s">
        <v>10</v>
      </c>
      <c r="D41" s="3" t="s">
        <v>14</v>
      </c>
      <c r="F41" s="3" t="s">
        <v>63</v>
      </c>
      <c r="G41" s="3" t="s">
        <v>10</v>
      </c>
      <c r="H41" s="3" t="s">
        <v>14</v>
      </c>
      <c r="J41" s="3" t="s">
        <v>64</v>
      </c>
      <c r="K41" s="3" t="s">
        <v>10</v>
      </c>
    </row>
    <row r="42" spans="2:11" x14ac:dyDescent="0.25">
      <c r="B42" t="s">
        <v>72</v>
      </c>
      <c r="C42">
        <v>1</v>
      </c>
      <c r="D42">
        <v>20</v>
      </c>
      <c r="F42" t="s">
        <v>69</v>
      </c>
      <c r="G42">
        <v>3</v>
      </c>
      <c r="H42">
        <v>13.33333333333333</v>
      </c>
      <c r="J42" t="s">
        <v>69</v>
      </c>
      <c r="K42">
        <v>2</v>
      </c>
    </row>
    <row r="43" spans="2:11" x14ac:dyDescent="0.25">
      <c r="B43" t="s">
        <v>21</v>
      </c>
      <c r="C43">
        <v>1</v>
      </c>
      <c r="D43">
        <v>45</v>
      </c>
      <c r="F43" t="s">
        <v>67</v>
      </c>
      <c r="G43">
        <v>3</v>
      </c>
      <c r="H43">
        <v>31.666666666666671</v>
      </c>
      <c r="J43" t="s">
        <v>67</v>
      </c>
      <c r="K43">
        <v>3</v>
      </c>
    </row>
    <row r="44" spans="2:11" x14ac:dyDescent="0.25">
      <c r="B44" t="s">
        <v>76</v>
      </c>
      <c r="C44">
        <v>1</v>
      </c>
      <c r="D44">
        <v>5</v>
      </c>
      <c r="F44" t="s">
        <v>66</v>
      </c>
      <c r="G44">
        <v>1</v>
      </c>
      <c r="H44">
        <v>10</v>
      </c>
      <c r="J44" t="s">
        <v>66</v>
      </c>
      <c r="K44">
        <v>2</v>
      </c>
    </row>
    <row r="45" spans="2:11" x14ac:dyDescent="0.25">
      <c r="B45" t="s">
        <v>22</v>
      </c>
      <c r="C45">
        <v>1</v>
      </c>
      <c r="D45">
        <v>40</v>
      </c>
      <c r="F45" t="s">
        <v>68</v>
      </c>
      <c r="G45">
        <v>5</v>
      </c>
      <c r="H45">
        <v>15</v>
      </c>
      <c r="J45" t="s">
        <v>68</v>
      </c>
      <c r="K45">
        <v>5</v>
      </c>
    </row>
    <row r="46" spans="2:11" x14ac:dyDescent="0.25">
      <c r="B46" t="s">
        <v>74</v>
      </c>
      <c r="C46">
        <v>1</v>
      </c>
      <c r="D46">
        <v>10</v>
      </c>
      <c r="F46" t="s">
        <v>70</v>
      </c>
      <c r="G46">
        <v>1</v>
      </c>
      <c r="H46">
        <v>5</v>
      </c>
      <c r="J46" t="s">
        <v>70</v>
      </c>
      <c r="K46">
        <v>1</v>
      </c>
    </row>
    <row r="47" spans="2:11" x14ac:dyDescent="0.25">
      <c r="B47" t="s">
        <v>78</v>
      </c>
      <c r="C47">
        <v>1</v>
      </c>
      <c r="D47">
        <v>0</v>
      </c>
      <c r="F47" t="s">
        <v>65</v>
      </c>
      <c r="G47">
        <v>2</v>
      </c>
      <c r="H47">
        <v>60</v>
      </c>
      <c r="J47" t="s">
        <v>65</v>
      </c>
      <c r="K47">
        <v>2</v>
      </c>
    </row>
  </sheetData>
  <mergeCells count="7">
    <mergeCell ref="B2:L3"/>
    <mergeCell ref="J5:L5"/>
    <mergeCell ref="B5:D5"/>
    <mergeCell ref="B6:D7"/>
    <mergeCell ref="F5:H5"/>
    <mergeCell ref="F6:H7"/>
    <mergeCell ref="J6:L7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1259F"/>
    <pageSetUpPr fitToPage="1"/>
  </sheetPr>
  <dimension ref="A1:S41"/>
  <sheetViews>
    <sheetView showGridLines="0" workbookViewId="0">
      <selection activeCell="F36" sqref="F36"/>
    </sheetView>
  </sheetViews>
  <sheetFormatPr defaultRowHeight="15" x14ac:dyDescent="0.25"/>
  <cols>
    <col min="1" max="1" width="3" customWidth="1"/>
    <col min="2" max="12" width="15" customWidth="1"/>
    <col min="13" max="13" width="3" customWidth="1"/>
  </cols>
  <sheetData>
    <row r="1" spans="1:13" ht="21.9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3.950000000000003" customHeight="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5"/>
    </row>
    <row r="3" spans="1:13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1.95" customHeight="1" x14ac:dyDescent="0.25">
      <c r="A4" s="5"/>
      <c r="B4" s="24" t="s">
        <v>1</v>
      </c>
      <c r="C4" s="12"/>
      <c r="D4" s="12"/>
      <c r="E4" s="5"/>
      <c r="F4" s="24" t="s">
        <v>2</v>
      </c>
      <c r="G4" s="12"/>
      <c r="H4" s="12"/>
      <c r="I4" s="5"/>
      <c r="J4" s="24" t="s">
        <v>3</v>
      </c>
      <c r="K4" s="12"/>
      <c r="L4" s="12"/>
      <c r="M4" s="5"/>
    </row>
    <row r="5" spans="1:13" ht="21.95" customHeight="1" x14ac:dyDescent="0.25">
      <c r="A5" s="5"/>
      <c r="B5" s="23">
        <v>15</v>
      </c>
      <c r="C5" s="12"/>
      <c r="D5" s="12"/>
      <c r="E5" s="5"/>
      <c r="F5" s="23">
        <v>14</v>
      </c>
      <c r="G5" s="12"/>
      <c r="H5" s="12"/>
      <c r="I5" s="5"/>
      <c r="J5" s="22">
        <v>23</v>
      </c>
      <c r="K5" s="12"/>
      <c r="L5" s="12"/>
      <c r="M5" s="5"/>
    </row>
    <row r="6" spans="1:13" ht="21.95" customHeight="1" x14ac:dyDescent="0.25">
      <c r="A6" s="5"/>
      <c r="B6" s="12"/>
      <c r="C6" s="12"/>
      <c r="D6" s="12"/>
      <c r="E6" s="5"/>
      <c r="F6" s="12"/>
      <c r="G6" s="12"/>
      <c r="H6" s="12"/>
      <c r="I6" s="5"/>
      <c r="J6" s="12"/>
      <c r="K6" s="12"/>
      <c r="L6" s="12"/>
      <c r="M6" s="5"/>
    </row>
    <row r="7" spans="1:13" ht="21.95" customHeight="1" x14ac:dyDescent="0.25">
      <c r="A7" s="5"/>
      <c r="B7" s="12"/>
      <c r="C7" s="12"/>
      <c r="D7" s="12"/>
      <c r="E7" s="5"/>
      <c r="F7" s="12"/>
      <c r="G7" s="12"/>
      <c r="H7" s="12"/>
      <c r="I7" s="5"/>
      <c r="J7" s="12"/>
      <c r="K7" s="12"/>
      <c r="L7" s="12"/>
      <c r="M7" s="5"/>
    </row>
    <row r="8" spans="1:13" ht="21.9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1.95" customHeight="1" x14ac:dyDescent="0.25">
      <c r="A9" s="5"/>
      <c r="B9" s="11" t="s">
        <v>4</v>
      </c>
      <c r="C9" s="12"/>
      <c r="D9" s="12"/>
      <c r="E9" s="12"/>
      <c r="F9" s="12"/>
      <c r="G9" s="5"/>
      <c r="H9" s="11" t="s">
        <v>5</v>
      </c>
      <c r="I9" s="12"/>
      <c r="J9" s="12"/>
      <c r="K9" s="12"/>
      <c r="L9" s="12"/>
      <c r="M9" s="5"/>
    </row>
    <row r="10" spans="1:13" ht="21.9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1.9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1.9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1.9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1.9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1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1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1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1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1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1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1.95" customHeight="1" x14ac:dyDescent="0.25">
      <c r="A23" s="5"/>
      <c r="B23" s="11" t="s">
        <v>6</v>
      </c>
      <c r="C23" s="12"/>
      <c r="D23" s="12"/>
      <c r="E23" s="12"/>
      <c r="F23" s="12"/>
      <c r="G23" s="5"/>
      <c r="H23" s="11" t="s">
        <v>7</v>
      </c>
      <c r="I23" s="12"/>
      <c r="J23" s="12"/>
      <c r="K23" s="12"/>
      <c r="L23" s="12"/>
      <c r="M23" s="5"/>
    </row>
    <row r="24" spans="1:13" ht="21.95" customHeight="1" x14ac:dyDescent="0.25">
      <c r="A24" s="5"/>
      <c r="B24" s="5"/>
      <c r="C24" s="5"/>
      <c r="D24" s="5"/>
      <c r="E24" s="5"/>
      <c r="F24" s="5"/>
      <c r="G24" s="5"/>
      <c r="H24" s="13" t="s">
        <v>8</v>
      </c>
      <c r="I24" s="14"/>
      <c r="J24" s="14"/>
      <c r="K24" s="14"/>
      <c r="L24" s="15"/>
      <c r="M24" s="5"/>
    </row>
    <row r="25" spans="1:13" ht="21.95" customHeight="1" x14ac:dyDescent="0.25">
      <c r="A25" s="5"/>
      <c r="B25" s="5"/>
      <c r="C25" s="5"/>
      <c r="D25" s="5"/>
      <c r="E25" s="5"/>
      <c r="F25" s="5"/>
      <c r="G25" s="5"/>
      <c r="H25" s="16"/>
      <c r="I25" s="17"/>
      <c r="J25" s="17"/>
      <c r="K25" s="17"/>
      <c r="L25" s="18"/>
      <c r="M25" s="5"/>
    </row>
    <row r="26" spans="1:13" ht="21.95" customHeight="1" x14ac:dyDescent="0.25">
      <c r="A26" s="5"/>
      <c r="B26" s="5"/>
      <c r="C26" s="5"/>
      <c r="D26" s="5"/>
      <c r="E26" s="5"/>
      <c r="F26" s="5"/>
      <c r="G26" s="5"/>
      <c r="H26" s="16"/>
      <c r="I26" s="17"/>
      <c r="J26" s="17"/>
      <c r="K26" s="17"/>
      <c r="L26" s="18"/>
      <c r="M26" s="5"/>
    </row>
    <row r="27" spans="1:13" ht="21.95" customHeight="1" x14ac:dyDescent="0.25">
      <c r="A27" s="5"/>
      <c r="B27" s="5"/>
      <c r="C27" s="5"/>
      <c r="D27" s="5"/>
      <c r="E27" s="5"/>
      <c r="F27" s="5"/>
      <c r="G27" s="5"/>
      <c r="H27" s="16"/>
      <c r="I27" s="17"/>
      <c r="J27" s="17"/>
      <c r="K27" s="17"/>
      <c r="L27" s="18"/>
      <c r="M27" s="5"/>
    </row>
    <row r="28" spans="1:13" ht="21.95" customHeight="1" x14ac:dyDescent="0.25">
      <c r="A28" s="5"/>
      <c r="B28" s="5"/>
      <c r="C28" s="5"/>
      <c r="D28" s="5"/>
      <c r="E28" s="5"/>
      <c r="F28" s="5"/>
      <c r="G28" s="5"/>
      <c r="H28" s="16"/>
      <c r="I28" s="17"/>
      <c r="J28" s="17"/>
      <c r="K28" s="17"/>
      <c r="L28" s="18"/>
      <c r="M28" s="5"/>
    </row>
    <row r="29" spans="1:13" ht="21.95" customHeight="1" x14ac:dyDescent="0.25">
      <c r="A29" s="5"/>
      <c r="B29" s="5"/>
      <c r="C29" s="5"/>
      <c r="D29" s="5"/>
      <c r="E29" s="5"/>
      <c r="F29" s="5"/>
      <c r="G29" s="5"/>
      <c r="H29" s="16"/>
      <c r="I29" s="17"/>
      <c r="J29" s="17"/>
      <c r="K29" s="17"/>
      <c r="L29" s="18"/>
      <c r="M29" s="5"/>
    </row>
    <row r="30" spans="1:13" ht="21.95" customHeight="1" x14ac:dyDescent="0.25">
      <c r="A30" s="5"/>
      <c r="B30" s="5"/>
      <c r="C30" s="5"/>
      <c r="D30" s="5"/>
      <c r="E30" s="5"/>
      <c r="F30" s="5"/>
      <c r="G30" s="5"/>
      <c r="H30" s="16"/>
      <c r="I30" s="17"/>
      <c r="J30" s="17"/>
      <c r="K30" s="17"/>
      <c r="L30" s="18"/>
      <c r="M30" s="5"/>
    </row>
    <row r="31" spans="1:13" ht="21.95" customHeight="1" x14ac:dyDescent="0.25">
      <c r="A31" s="5"/>
      <c r="B31" s="5"/>
      <c r="C31" s="5"/>
      <c r="D31" s="5"/>
      <c r="E31" s="5"/>
      <c r="F31" s="5"/>
      <c r="G31" s="5"/>
      <c r="H31" s="19"/>
      <c r="I31" s="20"/>
      <c r="J31" s="20"/>
      <c r="K31" s="20"/>
      <c r="L31" s="21"/>
      <c r="M31" s="5"/>
    </row>
    <row r="32" spans="1:13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9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9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9" ht="21.95" customHeight="1" x14ac:dyDescent="0.25">
      <c r="A35" s="5"/>
      <c r="M35" s="5"/>
    </row>
    <row r="36" spans="1:19" x14ac:dyDescent="0.25">
      <c r="N36" s="9" t="s">
        <v>9</v>
      </c>
      <c r="O36" s="9" t="s">
        <v>10</v>
      </c>
      <c r="P36" s="9" t="s">
        <v>11</v>
      </c>
      <c r="Q36" s="9" t="s">
        <v>12</v>
      </c>
      <c r="R36" s="9" t="s">
        <v>13</v>
      </c>
      <c r="S36" s="9" t="s">
        <v>14</v>
      </c>
    </row>
    <row r="37" spans="1:19" x14ac:dyDescent="0.25">
      <c r="N37" s="9" t="s">
        <v>15</v>
      </c>
      <c r="O37" s="9">
        <v>13</v>
      </c>
      <c r="P37" s="9" t="s">
        <v>16</v>
      </c>
      <c r="Q37" s="9">
        <v>7</v>
      </c>
      <c r="R37" s="9" t="s">
        <v>17</v>
      </c>
      <c r="S37" s="9">
        <v>90</v>
      </c>
    </row>
    <row r="38" spans="1:19" x14ac:dyDescent="0.25">
      <c r="N38" s="9" t="s">
        <v>18</v>
      </c>
      <c r="O38" s="9">
        <v>2</v>
      </c>
      <c r="P38" s="9" t="s">
        <v>19</v>
      </c>
      <c r="Q38" s="9">
        <v>7</v>
      </c>
      <c r="R38" s="9" t="s">
        <v>20</v>
      </c>
      <c r="S38" s="9">
        <v>50</v>
      </c>
    </row>
    <row r="39" spans="1:19" x14ac:dyDescent="0.25">
      <c r="N39" s="9"/>
      <c r="O39" s="9"/>
      <c r="P39" s="9"/>
      <c r="Q39" s="9"/>
      <c r="R39" s="9" t="s">
        <v>21</v>
      </c>
      <c r="S39" s="9">
        <v>45</v>
      </c>
    </row>
    <row r="40" spans="1:19" x14ac:dyDescent="0.25">
      <c r="N40" s="9"/>
      <c r="O40" s="9"/>
      <c r="P40" s="9"/>
      <c r="Q40" s="9"/>
      <c r="R40" s="9" t="s">
        <v>22</v>
      </c>
      <c r="S40" s="9">
        <v>40</v>
      </c>
    </row>
    <row r="41" spans="1:19" x14ac:dyDescent="0.25">
      <c r="N41" s="9"/>
      <c r="O41" s="9"/>
      <c r="P41" s="9"/>
      <c r="Q41" s="9"/>
      <c r="R41" s="9" t="s">
        <v>23</v>
      </c>
      <c r="S41" s="9">
        <v>30</v>
      </c>
    </row>
  </sheetData>
  <mergeCells count="12">
    <mergeCell ref="B4:D4"/>
    <mergeCell ref="B2:L2"/>
    <mergeCell ref="F4:H4"/>
    <mergeCell ref="B23:F23"/>
    <mergeCell ref="J4:L4"/>
    <mergeCell ref="H23:L23"/>
    <mergeCell ref="B9:F9"/>
    <mergeCell ref="H9:L9"/>
    <mergeCell ref="H24:L31"/>
    <mergeCell ref="J5:L7"/>
    <mergeCell ref="B5:D7"/>
    <mergeCell ref="F5:H7"/>
  </mergeCells>
  <pageMargins left="0.2" right="0.2" top="0.3" bottom="0.3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138F"/>
    <pageSetUpPr fitToPage="1"/>
  </sheetPr>
  <dimension ref="A1:S39"/>
  <sheetViews>
    <sheetView showGridLines="0" workbookViewId="0">
      <selection activeCell="F35" sqref="F35"/>
    </sheetView>
  </sheetViews>
  <sheetFormatPr defaultRowHeight="15" x14ac:dyDescent="0.25"/>
  <cols>
    <col min="1" max="1" width="3" customWidth="1"/>
    <col min="2" max="12" width="15" customWidth="1"/>
    <col min="13" max="13" width="3" customWidth="1"/>
  </cols>
  <sheetData>
    <row r="1" spans="1:13" ht="21.9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3.950000000000003" customHeight="1" x14ac:dyDescent="0.25">
      <c r="A2" s="5"/>
      <c r="B2" s="25" t="s">
        <v>24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5"/>
    </row>
    <row r="3" spans="1:13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1.95" customHeight="1" x14ac:dyDescent="0.25">
      <c r="A4" s="5"/>
      <c r="B4" s="24" t="s">
        <v>2</v>
      </c>
      <c r="C4" s="12"/>
      <c r="D4" s="12"/>
      <c r="E4" s="5"/>
      <c r="F4" s="24" t="s">
        <v>25</v>
      </c>
      <c r="G4" s="12"/>
      <c r="H4" s="12"/>
      <c r="I4" s="5"/>
      <c r="J4" s="24" t="s">
        <v>26</v>
      </c>
      <c r="K4" s="12"/>
      <c r="L4" s="12"/>
      <c r="M4" s="5"/>
    </row>
    <row r="5" spans="1:13" ht="21.95" customHeight="1" x14ac:dyDescent="0.25">
      <c r="A5" s="5"/>
      <c r="B5" s="23">
        <v>14</v>
      </c>
      <c r="C5" s="12"/>
      <c r="D5" s="12"/>
      <c r="E5" s="5"/>
      <c r="F5" s="28">
        <v>30.857142857142861</v>
      </c>
      <c r="G5" s="12"/>
      <c r="H5" s="12"/>
      <c r="I5" s="5"/>
      <c r="J5" s="27">
        <v>9164.2857142857138</v>
      </c>
      <c r="K5" s="12"/>
      <c r="L5" s="12"/>
      <c r="M5" s="5"/>
    </row>
    <row r="6" spans="1:13" ht="21.95" customHeight="1" x14ac:dyDescent="0.25">
      <c r="A6" s="5"/>
      <c r="B6" s="12"/>
      <c r="C6" s="12"/>
      <c r="D6" s="12"/>
      <c r="E6" s="5"/>
      <c r="F6" s="12"/>
      <c r="G6" s="12"/>
      <c r="H6" s="12"/>
      <c r="I6" s="5"/>
      <c r="J6" s="12"/>
      <c r="K6" s="12"/>
      <c r="L6" s="12"/>
      <c r="M6" s="5"/>
    </row>
    <row r="7" spans="1:13" ht="21.95" customHeight="1" x14ac:dyDescent="0.25">
      <c r="A7" s="5"/>
      <c r="B7" s="12"/>
      <c r="C7" s="12"/>
      <c r="D7" s="12"/>
      <c r="E7" s="5"/>
      <c r="F7" s="12"/>
      <c r="G7" s="12"/>
      <c r="H7" s="12"/>
      <c r="I7" s="5"/>
      <c r="J7" s="12"/>
      <c r="K7" s="12"/>
      <c r="L7" s="12"/>
      <c r="M7" s="5"/>
    </row>
    <row r="8" spans="1:13" ht="21.9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1.95" customHeight="1" x14ac:dyDescent="0.25">
      <c r="A9" s="5"/>
      <c r="B9" s="11" t="s">
        <v>27</v>
      </c>
      <c r="C9" s="12"/>
      <c r="D9" s="12"/>
      <c r="E9" s="12"/>
      <c r="F9" s="12"/>
      <c r="G9" s="5"/>
      <c r="H9" s="11" t="s">
        <v>28</v>
      </c>
      <c r="I9" s="12"/>
      <c r="J9" s="12"/>
      <c r="K9" s="12"/>
      <c r="L9" s="12"/>
      <c r="M9" s="5"/>
    </row>
    <row r="10" spans="1:13" ht="21.9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1.9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1.9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1.9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1.9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1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1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1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1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1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1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1.95" customHeight="1" x14ac:dyDescent="0.25">
      <c r="A23" s="5"/>
      <c r="B23" s="11" t="s">
        <v>29</v>
      </c>
      <c r="C23" s="12"/>
      <c r="D23" s="12"/>
      <c r="E23" s="12"/>
      <c r="F23" s="12"/>
      <c r="G23" s="5"/>
      <c r="H23" s="11" t="s">
        <v>30</v>
      </c>
      <c r="I23" s="12"/>
      <c r="J23" s="12"/>
      <c r="K23" s="12"/>
      <c r="L23" s="12"/>
      <c r="M23" s="5"/>
    </row>
    <row r="24" spans="1:13" ht="21.95" customHeight="1" x14ac:dyDescent="0.25">
      <c r="A24" s="5"/>
      <c r="B24" s="5"/>
      <c r="C24" s="5"/>
      <c r="D24" s="5"/>
      <c r="E24" s="5"/>
      <c r="F24" s="5"/>
      <c r="G24" s="5"/>
      <c r="H24" s="13" t="s">
        <v>31</v>
      </c>
      <c r="I24" s="14"/>
      <c r="J24" s="14"/>
      <c r="K24" s="14"/>
      <c r="L24" s="15"/>
      <c r="M24" s="5"/>
    </row>
    <row r="25" spans="1:13" ht="21.95" customHeight="1" x14ac:dyDescent="0.25">
      <c r="A25" s="5"/>
      <c r="B25" s="5"/>
      <c r="C25" s="5"/>
      <c r="D25" s="5"/>
      <c r="E25" s="5"/>
      <c r="F25" s="5"/>
      <c r="G25" s="5"/>
      <c r="H25" s="16"/>
      <c r="I25" s="17"/>
      <c r="J25" s="17"/>
      <c r="K25" s="17"/>
      <c r="L25" s="18"/>
      <c r="M25" s="5"/>
    </row>
    <row r="26" spans="1:13" ht="21.95" customHeight="1" x14ac:dyDescent="0.25">
      <c r="A26" s="5"/>
      <c r="B26" s="5"/>
      <c r="C26" s="5"/>
      <c r="D26" s="5"/>
      <c r="E26" s="5"/>
      <c r="F26" s="5"/>
      <c r="G26" s="5"/>
      <c r="H26" s="16"/>
      <c r="I26" s="17"/>
      <c r="J26" s="17"/>
      <c r="K26" s="17"/>
      <c r="L26" s="18"/>
      <c r="M26" s="5"/>
    </row>
    <row r="27" spans="1:13" ht="21.95" customHeight="1" x14ac:dyDescent="0.25">
      <c r="A27" s="5"/>
      <c r="B27" s="5"/>
      <c r="C27" s="5"/>
      <c r="D27" s="5"/>
      <c r="E27" s="5"/>
      <c r="F27" s="5"/>
      <c r="G27" s="5"/>
      <c r="H27" s="16"/>
      <c r="I27" s="17"/>
      <c r="J27" s="17"/>
      <c r="K27" s="17"/>
      <c r="L27" s="18"/>
      <c r="M27" s="5"/>
    </row>
    <row r="28" spans="1:13" ht="21.95" customHeight="1" x14ac:dyDescent="0.25">
      <c r="A28" s="5"/>
      <c r="B28" s="5"/>
      <c r="C28" s="5"/>
      <c r="D28" s="5"/>
      <c r="E28" s="5"/>
      <c r="F28" s="5"/>
      <c r="G28" s="5"/>
      <c r="H28" s="16"/>
      <c r="I28" s="17"/>
      <c r="J28" s="17"/>
      <c r="K28" s="17"/>
      <c r="L28" s="18"/>
      <c r="M28" s="5"/>
    </row>
    <row r="29" spans="1:13" ht="21.95" customHeight="1" x14ac:dyDescent="0.25">
      <c r="A29" s="5"/>
      <c r="B29" s="5"/>
      <c r="C29" s="5"/>
      <c r="D29" s="5"/>
      <c r="E29" s="5"/>
      <c r="F29" s="5"/>
      <c r="G29" s="5"/>
      <c r="H29" s="16"/>
      <c r="I29" s="17"/>
      <c r="J29" s="17"/>
      <c r="K29" s="17"/>
      <c r="L29" s="18"/>
      <c r="M29" s="5"/>
    </row>
    <row r="30" spans="1:13" ht="21.95" customHeight="1" x14ac:dyDescent="0.25">
      <c r="A30" s="5"/>
      <c r="B30" s="5"/>
      <c r="C30" s="5"/>
      <c r="D30" s="5"/>
      <c r="E30" s="5"/>
      <c r="F30" s="5"/>
      <c r="G30" s="5"/>
      <c r="H30" s="16"/>
      <c r="I30" s="17"/>
      <c r="J30" s="17"/>
      <c r="K30" s="17"/>
      <c r="L30" s="18"/>
      <c r="M30" s="5"/>
    </row>
    <row r="31" spans="1:13" ht="21.95" customHeight="1" x14ac:dyDescent="0.25">
      <c r="A31" s="5"/>
      <c r="B31" s="5"/>
      <c r="C31" s="5"/>
      <c r="D31" s="5"/>
      <c r="E31" s="5"/>
      <c r="F31" s="5"/>
      <c r="G31" s="5"/>
      <c r="H31" s="19"/>
      <c r="I31" s="20"/>
      <c r="J31" s="20"/>
      <c r="K31" s="20"/>
      <c r="L31" s="21"/>
      <c r="M31" s="5"/>
    </row>
    <row r="32" spans="1:13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9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9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9" ht="21.95" customHeight="1" x14ac:dyDescent="0.25">
      <c r="A35" s="5"/>
      <c r="M35" s="5"/>
    </row>
    <row r="36" spans="1:19" x14ac:dyDescent="0.25">
      <c r="N36" s="9" t="s">
        <v>11</v>
      </c>
      <c r="O36" s="9" t="s">
        <v>32</v>
      </c>
      <c r="P36" s="9" t="s">
        <v>33</v>
      </c>
      <c r="Q36" s="9" t="s">
        <v>32</v>
      </c>
      <c r="R36" s="9" t="s">
        <v>34</v>
      </c>
      <c r="S36" s="9" t="s">
        <v>12</v>
      </c>
    </row>
    <row r="37" spans="1:19" x14ac:dyDescent="0.25">
      <c r="N37" s="9" t="s">
        <v>16</v>
      </c>
      <c r="O37" s="9">
        <v>7</v>
      </c>
      <c r="P37" s="9" t="s">
        <v>35</v>
      </c>
      <c r="Q37" s="9">
        <v>3</v>
      </c>
      <c r="R37" s="9" t="s">
        <v>36</v>
      </c>
      <c r="S37" s="9">
        <v>10</v>
      </c>
    </row>
    <row r="38" spans="1:19" x14ac:dyDescent="0.25">
      <c r="N38" s="9" t="s">
        <v>19</v>
      </c>
      <c r="O38" s="9">
        <v>7</v>
      </c>
      <c r="P38" s="9" t="s">
        <v>37</v>
      </c>
      <c r="Q38" s="9">
        <v>8</v>
      </c>
      <c r="R38" s="9" t="s">
        <v>38</v>
      </c>
      <c r="S38" s="9">
        <v>4</v>
      </c>
    </row>
    <row r="39" spans="1:19" x14ac:dyDescent="0.25">
      <c r="N39" s="9"/>
      <c r="O39" s="9"/>
      <c r="P39" s="9" t="s">
        <v>39</v>
      </c>
      <c r="Q39" s="9">
        <v>3</v>
      </c>
      <c r="R39" s="9"/>
      <c r="S39" s="9"/>
    </row>
  </sheetData>
  <mergeCells count="12">
    <mergeCell ref="B4:D4"/>
    <mergeCell ref="B2:L2"/>
    <mergeCell ref="F4:H4"/>
    <mergeCell ref="B23:F23"/>
    <mergeCell ref="J4:L4"/>
    <mergeCell ref="H23:L23"/>
    <mergeCell ref="B9:F9"/>
    <mergeCell ref="H9:L9"/>
    <mergeCell ref="H24:L31"/>
    <mergeCell ref="J5:L7"/>
    <mergeCell ref="B5:D7"/>
    <mergeCell ref="F5:H7"/>
  </mergeCells>
  <pageMargins left="0.2" right="0.2" top="0.3" bottom="0.3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138F"/>
    <pageSetUpPr fitToPage="1"/>
  </sheetPr>
  <dimension ref="A1:S40"/>
  <sheetViews>
    <sheetView showGridLines="0" topLeftCell="A4" workbookViewId="0">
      <selection activeCell="E39" sqref="E39"/>
    </sheetView>
  </sheetViews>
  <sheetFormatPr defaultRowHeight="15" x14ac:dyDescent="0.25"/>
  <cols>
    <col min="1" max="1" width="3" customWidth="1"/>
    <col min="2" max="12" width="15" customWidth="1"/>
    <col min="13" max="13" width="3" customWidth="1"/>
  </cols>
  <sheetData>
    <row r="1" spans="1:13" ht="21.9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3.950000000000003" customHeight="1" x14ac:dyDescent="0.25">
      <c r="A2" s="5"/>
      <c r="B2" s="25" t="s">
        <v>40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5"/>
    </row>
    <row r="3" spans="1:13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1.95" customHeight="1" x14ac:dyDescent="0.25">
      <c r="A4" s="5"/>
      <c r="B4" s="24" t="s">
        <v>1</v>
      </c>
      <c r="C4" s="12"/>
      <c r="D4" s="12"/>
      <c r="E4" s="5"/>
      <c r="F4" s="24" t="s">
        <v>3</v>
      </c>
      <c r="G4" s="12"/>
      <c r="H4" s="12"/>
      <c r="I4" s="5"/>
      <c r="J4" s="24" t="s">
        <v>41</v>
      </c>
      <c r="K4" s="12"/>
      <c r="L4" s="12"/>
      <c r="M4" s="5"/>
    </row>
    <row r="5" spans="1:13" ht="21.95" customHeight="1" x14ac:dyDescent="0.25">
      <c r="A5" s="5"/>
      <c r="B5" s="23">
        <v>15</v>
      </c>
      <c r="C5" s="12"/>
      <c r="D5" s="12"/>
      <c r="E5" s="5"/>
      <c r="F5" s="22">
        <v>23</v>
      </c>
      <c r="G5" s="12"/>
      <c r="H5" s="12"/>
      <c r="I5" s="5"/>
      <c r="J5" s="29">
        <v>90</v>
      </c>
      <c r="K5" s="12"/>
      <c r="L5" s="12"/>
      <c r="M5" s="5"/>
    </row>
    <row r="6" spans="1:13" ht="21.95" customHeight="1" x14ac:dyDescent="0.25">
      <c r="A6" s="5"/>
      <c r="B6" s="12"/>
      <c r="C6" s="12"/>
      <c r="D6" s="12"/>
      <c r="E6" s="5"/>
      <c r="F6" s="12"/>
      <c r="G6" s="12"/>
      <c r="H6" s="12"/>
      <c r="I6" s="5"/>
      <c r="J6" s="12"/>
      <c r="K6" s="12"/>
      <c r="L6" s="12"/>
      <c r="M6" s="5"/>
    </row>
    <row r="7" spans="1:13" ht="21.95" customHeight="1" x14ac:dyDescent="0.25">
      <c r="A7" s="5"/>
      <c r="B7" s="12"/>
      <c r="C7" s="12"/>
      <c r="D7" s="12"/>
      <c r="E7" s="5"/>
      <c r="F7" s="12"/>
      <c r="G7" s="12"/>
      <c r="H7" s="12"/>
      <c r="I7" s="5"/>
      <c r="J7" s="12"/>
      <c r="K7" s="12"/>
      <c r="L7" s="12"/>
      <c r="M7" s="5"/>
    </row>
    <row r="8" spans="1:13" ht="21.9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1.95" customHeight="1" x14ac:dyDescent="0.25">
      <c r="A9" s="5"/>
      <c r="B9" s="11" t="s">
        <v>42</v>
      </c>
      <c r="C9" s="12"/>
      <c r="D9" s="12"/>
      <c r="E9" s="12"/>
      <c r="F9" s="12"/>
      <c r="G9" s="5"/>
      <c r="H9" s="11" t="s">
        <v>4</v>
      </c>
      <c r="I9" s="12"/>
      <c r="J9" s="12"/>
      <c r="K9" s="12"/>
      <c r="L9" s="12"/>
      <c r="M9" s="5"/>
    </row>
    <row r="10" spans="1:13" ht="21.9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1.9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1.9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1.9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1.9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1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1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1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1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1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1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1.95" customHeight="1" x14ac:dyDescent="0.25">
      <c r="A23" s="5"/>
      <c r="B23" s="11" t="s">
        <v>43</v>
      </c>
      <c r="C23" s="12"/>
      <c r="D23" s="12"/>
      <c r="E23" s="12"/>
      <c r="F23" s="12"/>
      <c r="G23" s="5"/>
      <c r="H23" s="11" t="s">
        <v>44</v>
      </c>
      <c r="I23" s="12"/>
      <c r="J23" s="12"/>
      <c r="K23" s="12"/>
      <c r="L23" s="12"/>
      <c r="M23" s="5"/>
    </row>
    <row r="24" spans="1:13" ht="21.95" customHeight="1" x14ac:dyDescent="0.25">
      <c r="A24" s="5"/>
      <c r="B24" s="5"/>
      <c r="C24" s="5"/>
      <c r="D24" s="5"/>
      <c r="E24" s="5"/>
      <c r="F24" s="5"/>
      <c r="G24" s="5"/>
      <c r="H24" s="13" t="s">
        <v>45</v>
      </c>
      <c r="I24" s="14"/>
      <c r="J24" s="14"/>
      <c r="K24" s="14"/>
      <c r="L24" s="15"/>
      <c r="M24" s="5"/>
    </row>
    <row r="25" spans="1:13" ht="21.95" customHeight="1" x14ac:dyDescent="0.25">
      <c r="A25" s="5"/>
      <c r="B25" s="5"/>
      <c r="C25" s="5"/>
      <c r="D25" s="5"/>
      <c r="E25" s="5"/>
      <c r="F25" s="5"/>
      <c r="G25" s="5"/>
      <c r="H25" s="16"/>
      <c r="I25" s="17"/>
      <c r="J25" s="17"/>
      <c r="K25" s="17"/>
      <c r="L25" s="18"/>
      <c r="M25" s="5"/>
    </row>
    <row r="26" spans="1:13" ht="21.95" customHeight="1" x14ac:dyDescent="0.25">
      <c r="A26" s="5"/>
      <c r="B26" s="5"/>
      <c r="C26" s="5"/>
      <c r="D26" s="5"/>
      <c r="E26" s="5"/>
      <c r="F26" s="5"/>
      <c r="G26" s="5"/>
      <c r="H26" s="16"/>
      <c r="I26" s="17"/>
      <c r="J26" s="17"/>
      <c r="K26" s="17"/>
      <c r="L26" s="18"/>
      <c r="M26" s="5"/>
    </row>
    <row r="27" spans="1:13" ht="21.95" customHeight="1" x14ac:dyDescent="0.25">
      <c r="A27" s="5"/>
      <c r="B27" s="5"/>
      <c r="C27" s="5"/>
      <c r="D27" s="5"/>
      <c r="E27" s="5"/>
      <c r="F27" s="5"/>
      <c r="G27" s="5"/>
      <c r="H27" s="16"/>
      <c r="I27" s="17"/>
      <c r="J27" s="17"/>
      <c r="K27" s="17"/>
      <c r="L27" s="18"/>
      <c r="M27" s="5"/>
    </row>
    <row r="28" spans="1:13" ht="21.95" customHeight="1" x14ac:dyDescent="0.25">
      <c r="A28" s="5"/>
      <c r="B28" s="5"/>
      <c r="C28" s="5"/>
      <c r="D28" s="5"/>
      <c r="E28" s="5"/>
      <c r="F28" s="5"/>
      <c r="G28" s="5"/>
      <c r="H28" s="16"/>
      <c r="I28" s="17"/>
      <c r="J28" s="17"/>
      <c r="K28" s="17"/>
      <c r="L28" s="18"/>
      <c r="M28" s="5"/>
    </row>
    <row r="29" spans="1:13" ht="21.95" customHeight="1" x14ac:dyDescent="0.25">
      <c r="A29" s="5"/>
      <c r="B29" s="5"/>
      <c r="C29" s="5"/>
      <c r="D29" s="5"/>
      <c r="E29" s="5"/>
      <c r="F29" s="5"/>
      <c r="G29" s="5"/>
      <c r="H29" s="16"/>
      <c r="I29" s="17"/>
      <c r="J29" s="17"/>
      <c r="K29" s="17"/>
      <c r="L29" s="18"/>
      <c r="M29" s="5"/>
    </row>
    <row r="30" spans="1:13" ht="21.95" customHeight="1" x14ac:dyDescent="0.25">
      <c r="A30" s="5"/>
      <c r="B30" s="5"/>
      <c r="C30" s="5"/>
      <c r="D30" s="5"/>
      <c r="E30" s="5"/>
      <c r="F30" s="5"/>
      <c r="G30" s="5"/>
      <c r="H30" s="16"/>
      <c r="I30" s="17"/>
      <c r="J30" s="17"/>
      <c r="K30" s="17"/>
      <c r="L30" s="18"/>
      <c r="M30" s="5"/>
    </row>
    <row r="31" spans="1:13" ht="21.95" customHeight="1" x14ac:dyDescent="0.25">
      <c r="A31" s="5"/>
      <c r="B31" s="5"/>
      <c r="C31" s="5"/>
      <c r="D31" s="5"/>
      <c r="E31" s="5"/>
      <c r="F31" s="5"/>
      <c r="G31" s="5"/>
      <c r="H31" s="19"/>
      <c r="I31" s="20"/>
      <c r="J31" s="20"/>
      <c r="K31" s="20"/>
      <c r="L31" s="21"/>
      <c r="M31" s="5"/>
    </row>
    <row r="32" spans="1:13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9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9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9" ht="21.95" customHeight="1" x14ac:dyDescent="0.25">
      <c r="A35" s="5"/>
      <c r="M35" s="5"/>
    </row>
    <row r="36" spans="1:19" x14ac:dyDescent="0.25">
      <c r="N36" s="9" t="s">
        <v>46</v>
      </c>
      <c r="O36" s="9" t="s">
        <v>10</v>
      </c>
      <c r="P36" s="9" t="s">
        <v>9</v>
      </c>
      <c r="Q36" s="9" t="s">
        <v>10</v>
      </c>
      <c r="R36" s="9" t="s">
        <v>47</v>
      </c>
      <c r="S36" s="9" t="s">
        <v>10</v>
      </c>
    </row>
    <row r="37" spans="1:19" x14ac:dyDescent="0.25">
      <c r="N37" s="9" t="s">
        <v>48</v>
      </c>
      <c r="O37" s="9">
        <v>8</v>
      </c>
      <c r="P37" s="9" t="s">
        <v>15</v>
      </c>
      <c r="Q37" s="9">
        <v>13</v>
      </c>
      <c r="R37" s="9" t="s">
        <v>49</v>
      </c>
      <c r="S37" s="9">
        <v>1</v>
      </c>
    </row>
    <row r="38" spans="1:19" x14ac:dyDescent="0.25">
      <c r="N38" s="9" t="s">
        <v>50</v>
      </c>
      <c r="O38" s="9">
        <v>3</v>
      </c>
      <c r="P38" s="9" t="s">
        <v>18</v>
      </c>
      <c r="Q38" s="9">
        <v>2</v>
      </c>
      <c r="R38" s="9" t="s">
        <v>51</v>
      </c>
      <c r="S38" s="9">
        <v>1</v>
      </c>
    </row>
    <row r="39" spans="1:19" x14ac:dyDescent="0.25">
      <c r="N39" s="9" t="s">
        <v>52</v>
      </c>
      <c r="O39" s="9">
        <v>3</v>
      </c>
      <c r="P39" s="9"/>
      <c r="Q39" s="9"/>
      <c r="R39" s="9"/>
      <c r="S39" s="9"/>
    </row>
    <row r="40" spans="1:19" x14ac:dyDescent="0.25">
      <c r="N40" s="9" t="s">
        <v>53</v>
      </c>
      <c r="O40" s="9">
        <v>1</v>
      </c>
      <c r="P40" s="9"/>
      <c r="Q40" s="9"/>
      <c r="R40" s="9"/>
      <c r="S40" s="9"/>
    </row>
  </sheetData>
  <mergeCells count="12">
    <mergeCell ref="B4:D4"/>
    <mergeCell ref="B2:L2"/>
    <mergeCell ref="F4:H4"/>
    <mergeCell ref="B23:F23"/>
    <mergeCell ref="J4:L4"/>
    <mergeCell ref="H23:L23"/>
    <mergeCell ref="B9:F9"/>
    <mergeCell ref="H9:L9"/>
    <mergeCell ref="H24:L31"/>
    <mergeCell ref="J5:L7"/>
    <mergeCell ref="B5:D7"/>
    <mergeCell ref="F5:H7"/>
  </mergeCells>
  <pageMargins left="0.2" right="0.2" top="0.3" bottom="0.3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138F"/>
    <pageSetUpPr fitToPage="1"/>
  </sheetPr>
  <dimension ref="A1:S52"/>
  <sheetViews>
    <sheetView showGridLines="0" topLeftCell="A7" workbookViewId="0">
      <selection activeCell="G25" sqref="G25"/>
    </sheetView>
  </sheetViews>
  <sheetFormatPr defaultRowHeight="15" x14ac:dyDescent="0.25"/>
  <cols>
    <col min="1" max="1" width="3" customWidth="1"/>
    <col min="2" max="12" width="15" customWidth="1"/>
    <col min="13" max="13" width="3" customWidth="1"/>
  </cols>
  <sheetData>
    <row r="1" spans="1:13" ht="21.9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3.950000000000003" customHeight="1" x14ac:dyDescent="0.25">
      <c r="A2" s="5"/>
      <c r="B2" s="25" t="s">
        <v>54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5"/>
    </row>
    <row r="3" spans="1:13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1.95" customHeight="1" x14ac:dyDescent="0.25">
      <c r="A4" s="5"/>
      <c r="B4" s="24" t="s">
        <v>55</v>
      </c>
      <c r="C4" s="12"/>
      <c r="D4" s="12"/>
      <c r="E4" s="5"/>
      <c r="F4" s="24" t="s">
        <v>56</v>
      </c>
      <c r="G4" s="12"/>
      <c r="H4" s="12"/>
      <c r="I4" s="5"/>
      <c r="J4" s="24" t="s">
        <v>57</v>
      </c>
      <c r="K4" s="12"/>
      <c r="L4" s="12"/>
      <c r="M4" s="5"/>
    </row>
    <row r="5" spans="1:13" ht="21.95" customHeight="1" x14ac:dyDescent="0.25">
      <c r="A5" s="5"/>
      <c r="B5" s="23">
        <v>15</v>
      </c>
      <c r="C5" s="12"/>
      <c r="D5" s="12"/>
      <c r="E5" s="5"/>
      <c r="F5" s="22">
        <v>23</v>
      </c>
      <c r="G5" s="12"/>
      <c r="H5" s="12"/>
      <c r="I5" s="5"/>
      <c r="J5" s="29">
        <v>90</v>
      </c>
      <c r="K5" s="12"/>
      <c r="L5" s="12"/>
      <c r="M5" s="5"/>
    </row>
    <row r="6" spans="1:13" ht="21.95" customHeight="1" x14ac:dyDescent="0.25">
      <c r="A6" s="5"/>
      <c r="B6" s="12"/>
      <c r="C6" s="12"/>
      <c r="D6" s="12"/>
      <c r="E6" s="5"/>
      <c r="F6" s="12"/>
      <c r="G6" s="12"/>
      <c r="H6" s="12"/>
      <c r="I6" s="5"/>
      <c r="J6" s="12"/>
      <c r="K6" s="12"/>
      <c r="L6" s="12"/>
      <c r="M6" s="5"/>
    </row>
    <row r="7" spans="1:13" ht="21.95" customHeight="1" x14ac:dyDescent="0.25">
      <c r="A7" s="5"/>
      <c r="B7" s="12"/>
      <c r="C7" s="12"/>
      <c r="D7" s="12"/>
      <c r="E7" s="5"/>
      <c r="F7" s="12"/>
      <c r="G7" s="12"/>
      <c r="H7" s="12"/>
      <c r="I7" s="5"/>
      <c r="J7" s="12"/>
      <c r="K7" s="12"/>
      <c r="L7" s="12"/>
      <c r="M7" s="5"/>
    </row>
    <row r="8" spans="1:13" ht="21.9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1.95" customHeight="1" x14ac:dyDescent="0.25">
      <c r="A9" s="5"/>
      <c r="B9" s="11" t="s">
        <v>58</v>
      </c>
      <c r="C9" s="12"/>
      <c r="D9" s="12"/>
      <c r="E9" s="12"/>
      <c r="F9" s="12"/>
      <c r="G9" s="5"/>
      <c r="H9" s="11" t="s">
        <v>59</v>
      </c>
      <c r="I9" s="12"/>
      <c r="J9" s="12"/>
      <c r="K9" s="12"/>
      <c r="L9" s="12"/>
      <c r="M9" s="5"/>
    </row>
    <row r="10" spans="1:13" ht="21.9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1.9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1.9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1.9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1.9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1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1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1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1.9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1.9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1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1.9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1.95" customHeight="1" x14ac:dyDescent="0.25">
      <c r="A23" s="5"/>
      <c r="B23" s="11" t="s">
        <v>60</v>
      </c>
      <c r="C23" s="12"/>
      <c r="D23" s="12"/>
      <c r="E23" s="12"/>
      <c r="F23" s="12"/>
      <c r="G23" s="5"/>
      <c r="H23" s="11" t="s">
        <v>61</v>
      </c>
      <c r="I23" s="12"/>
      <c r="J23" s="12"/>
      <c r="K23" s="12"/>
      <c r="L23" s="12"/>
      <c r="M23" s="5"/>
    </row>
    <row r="24" spans="1:13" ht="21.95" customHeight="1" x14ac:dyDescent="0.25">
      <c r="A24" s="5"/>
      <c r="B24" s="5"/>
      <c r="C24" s="5"/>
      <c r="D24" s="5"/>
      <c r="E24" s="5"/>
      <c r="F24" s="5"/>
      <c r="G24" s="5"/>
      <c r="H24" s="13" t="s">
        <v>62</v>
      </c>
      <c r="I24" s="14"/>
      <c r="J24" s="14"/>
      <c r="K24" s="14"/>
      <c r="L24" s="15"/>
      <c r="M24" s="5"/>
    </row>
    <row r="25" spans="1:13" ht="21.95" customHeight="1" x14ac:dyDescent="0.25">
      <c r="A25" s="5"/>
      <c r="B25" s="5"/>
      <c r="C25" s="5"/>
      <c r="D25" s="5"/>
      <c r="E25" s="5"/>
      <c r="F25" s="5"/>
      <c r="G25" s="5"/>
      <c r="H25" s="16"/>
      <c r="I25" s="17"/>
      <c r="J25" s="17"/>
      <c r="K25" s="17"/>
      <c r="L25" s="18"/>
      <c r="M25" s="5"/>
    </row>
    <row r="26" spans="1:13" ht="21.95" customHeight="1" x14ac:dyDescent="0.25">
      <c r="A26" s="5"/>
      <c r="B26" s="5"/>
      <c r="C26" s="5"/>
      <c r="D26" s="5"/>
      <c r="E26" s="5"/>
      <c r="F26" s="5"/>
      <c r="G26" s="5"/>
      <c r="H26" s="16"/>
      <c r="I26" s="17"/>
      <c r="J26" s="17"/>
      <c r="K26" s="17"/>
      <c r="L26" s="18"/>
      <c r="M26" s="5"/>
    </row>
    <row r="27" spans="1:13" ht="21.95" customHeight="1" x14ac:dyDescent="0.25">
      <c r="A27" s="5"/>
      <c r="B27" s="5"/>
      <c r="C27" s="5"/>
      <c r="D27" s="5"/>
      <c r="E27" s="5"/>
      <c r="F27" s="5"/>
      <c r="G27" s="5"/>
      <c r="H27" s="16"/>
      <c r="I27" s="17"/>
      <c r="J27" s="17"/>
      <c r="K27" s="17"/>
      <c r="L27" s="18"/>
      <c r="M27" s="5"/>
    </row>
    <row r="28" spans="1:13" ht="21.95" customHeight="1" x14ac:dyDescent="0.25">
      <c r="A28" s="5"/>
      <c r="B28" s="5"/>
      <c r="C28" s="5"/>
      <c r="D28" s="5"/>
      <c r="E28" s="5"/>
      <c r="F28" s="5"/>
      <c r="G28" s="5"/>
      <c r="H28" s="16"/>
      <c r="I28" s="17"/>
      <c r="J28" s="17"/>
      <c r="K28" s="17"/>
      <c r="L28" s="18"/>
      <c r="M28" s="5"/>
    </row>
    <row r="29" spans="1:13" ht="21.95" customHeight="1" x14ac:dyDescent="0.25">
      <c r="A29" s="5"/>
      <c r="B29" s="5"/>
      <c r="C29" s="5"/>
      <c r="D29" s="5"/>
      <c r="E29" s="5"/>
      <c r="F29" s="5"/>
      <c r="G29" s="5"/>
      <c r="H29" s="16"/>
      <c r="I29" s="17"/>
      <c r="J29" s="17"/>
      <c r="K29" s="17"/>
      <c r="L29" s="18"/>
      <c r="M29" s="5"/>
    </row>
    <row r="30" spans="1:13" ht="21.95" customHeight="1" x14ac:dyDescent="0.25">
      <c r="A30" s="5"/>
      <c r="B30" s="5"/>
      <c r="C30" s="5"/>
      <c r="D30" s="5"/>
      <c r="E30" s="5"/>
      <c r="F30" s="5"/>
      <c r="G30" s="5"/>
      <c r="H30" s="16"/>
      <c r="I30" s="17"/>
      <c r="J30" s="17"/>
      <c r="K30" s="17"/>
      <c r="L30" s="18"/>
      <c r="M30" s="5"/>
    </row>
    <row r="31" spans="1:13" ht="21.95" customHeight="1" x14ac:dyDescent="0.25">
      <c r="A31" s="5"/>
      <c r="B31" s="5"/>
      <c r="C31" s="5"/>
      <c r="D31" s="5"/>
      <c r="E31" s="5"/>
      <c r="F31" s="5"/>
      <c r="G31" s="5"/>
      <c r="H31" s="19"/>
      <c r="I31" s="20"/>
      <c r="J31" s="20"/>
      <c r="K31" s="20"/>
      <c r="L31" s="21"/>
      <c r="M31" s="5"/>
    </row>
    <row r="32" spans="1:13" ht="21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9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9" ht="21.9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9" ht="21.95" customHeight="1" x14ac:dyDescent="0.25">
      <c r="A35" s="5"/>
      <c r="M35" s="5"/>
    </row>
    <row r="36" spans="1:19" x14ac:dyDescent="0.25">
      <c r="N36" s="9" t="s">
        <v>13</v>
      </c>
      <c r="O36" s="9" t="s">
        <v>14</v>
      </c>
      <c r="P36" s="9" t="s">
        <v>63</v>
      </c>
      <c r="Q36" s="9" t="s">
        <v>14</v>
      </c>
      <c r="R36" s="9" t="s">
        <v>64</v>
      </c>
      <c r="S36" s="9" t="s">
        <v>14</v>
      </c>
    </row>
    <row r="37" spans="1:19" x14ac:dyDescent="0.25">
      <c r="N37" s="9" t="s">
        <v>17</v>
      </c>
      <c r="O37" s="9">
        <v>90</v>
      </c>
      <c r="P37" s="9" t="s">
        <v>65</v>
      </c>
      <c r="Q37" s="9">
        <v>60</v>
      </c>
      <c r="R37" s="9" t="s">
        <v>66</v>
      </c>
      <c r="S37" s="9">
        <v>37.5</v>
      </c>
    </row>
    <row r="38" spans="1:19" x14ac:dyDescent="0.25">
      <c r="N38" s="9" t="s">
        <v>20</v>
      </c>
      <c r="O38" s="9">
        <v>50</v>
      </c>
      <c r="P38" s="9" t="s">
        <v>67</v>
      </c>
      <c r="Q38" s="9">
        <v>31.666666666666671</v>
      </c>
      <c r="R38" s="9" t="s">
        <v>68</v>
      </c>
      <c r="S38" s="9">
        <v>30</v>
      </c>
    </row>
    <row r="39" spans="1:19" x14ac:dyDescent="0.25">
      <c r="N39" s="9" t="s">
        <v>21</v>
      </c>
      <c r="O39" s="9">
        <v>45</v>
      </c>
      <c r="P39" s="9" t="s">
        <v>68</v>
      </c>
      <c r="Q39" s="9">
        <v>15</v>
      </c>
      <c r="R39" s="9" t="s">
        <v>65</v>
      </c>
      <c r="S39" s="9">
        <v>27.5</v>
      </c>
    </row>
    <row r="40" spans="1:19" x14ac:dyDescent="0.25">
      <c r="N40" s="9" t="s">
        <v>22</v>
      </c>
      <c r="O40" s="9">
        <v>40</v>
      </c>
      <c r="P40" s="9" t="s">
        <v>69</v>
      </c>
      <c r="Q40" s="9">
        <v>13.33333333333333</v>
      </c>
      <c r="R40" s="9" t="s">
        <v>67</v>
      </c>
      <c r="S40" s="9">
        <v>16.666666666666671</v>
      </c>
    </row>
    <row r="41" spans="1:19" x14ac:dyDescent="0.25">
      <c r="N41" s="9" t="s">
        <v>23</v>
      </c>
      <c r="O41" s="9">
        <v>30</v>
      </c>
      <c r="P41" s="9" t="s">
        <v>66</v>
      </c>
      <c r="Q41" s="9">
        <v>10</v>
      </c>
      <c r="R41" s="9" t="s">
        <v>70</v>
      </c>
      <c r="S41" s="9">
        <v>10</v>
      </c>
    </row>
    <row r="42" spans="1:19" x14ac:dyDescent="0.25">
      <c r="N42" s="9" t="s">
        <v>71</v>
      </c>
      <c r="O42" s="9">
        <v>25</v>
      </c>
      <c r="P42" s="9" t="s">
        <v>70</v>
      </c>
      <c r="Q42" s="9">
        <v>5</v>
      </c>
      <c r="R42" s="9" t="s">
        <v>69</v>
      </c>
      <c r="S42" s="9">
        <v>2.5</v>
      </c>
    </row>
    <row r="43" spans="1:19" x14ac:dyDescent="0.25">
      <c r="N43" s="9" t="s">
        <v>72</v>
      </c>
      <c r="O43" s="9">
        <v>20</v>
      </c>
      <c r="P43" s="9"/>
      <c r="Q43" s="9"/>
      <c r="R43" s="9"/>
      <c r="S43" s="9"/>
    </row>
    <row r="44" spans="1:19" x14ac:dyDescent="0.25">
      <c r="N44" s="9" t="s">
        <v>73</v>
      </c>
      <c r="O44" s="9">
        <v>15</v>
      </c>
      <c r="P44" s="9"/>
      <c r="Q44" s="9"/>
      <c r="R44" s="9"/>
      <c r="S44" s="9"/>
    </row>
    <row r="45" spans="1:19" x14ac:dyDescent="0.25">
      <c r="N45" s="9" t="s">
        <v>74</v>
      </c>
      <c r="O45" s="9">
        <v>10</v>
      </c>
      <c r="P45" s="9"/>
      <c r="Q45" s="9"/>
      <c r="R45" s="9"/>
      <c r="S45" s="9"/>
    </row>
    <row r="46" spans="1:19" x14ac:dyDescent="0.25">
      <c r="N46" s="9" t="s">
        <v>75</v>
      </c>
      <c r="O46" s="9">
        <v>10</v>
      </c>
      <c r="P46" s="9"/>
      <c r="Q46" s="9"/>
      <c r="R46" s="9"/>
      <c r="S46" s="9"/>
    </row>
    <row r="47" spans="1:19" x14ac:dyDescent="0.25">
      <c r="N47" s="9" t="s">
        <v>76</v>
      </c>
      <c r="O47" s="9">
        <v>5</v>
      </c>
      <c r="P47" s="9"/>
      <c r="Q47" s="9"/>
      <c r="R47" s="9"/>
      <c r="S47" s="9"/>
    </row>
    <row r="48" spans="1:19" x14ac:dyDescent="0.25">
      <c r="N48" s="9" t="s">
        <v>77</v>
      </c>
      <c r="O48" s="9">
        <v>5</v>
      </c>
      <c r="P48" s="9"/>
      <c r="Q48" s="9"/>
      <c r="R48" s="9"/>
      <c r="S48" s="9"/>
    </row>
    <row r="49" spans="14:19" x14ac:dyDescent="0.25">
      <c r="N49" s="9" t="s">
        <v>78</v>
      </c>
      <c r="O49" s="9">
        <v>0</v>
      </c>
      <c r="P49" s="9"/>
      <c r="Q49" s="9"/>
      <c r="R49" s="9"/>
      <c r="S49" s="9"/>
    </row>
    <row r="50" spans="14:19" x14ac:dyDescent="0.25">
      <c r="N50" s="9" t="s">
        <v>79</v>
      </c>
      <c r="O50" s="9">
        <v>0</v>
      </c>
      <c r="P50" s="9"/>
      <c r="Q50" s="9"/>
      <c r="R50" s="9"/>
      <c r="S50" s="9"/>
    </row>
    <row r="51" spans="14:19" x14ac:dyDescent="0.25">
      <c r="N51" s="9" t="s">
        <v>80</v>
      </c>
      <c r="O51" s="9">
        <v>0</v>
      </c>
      <c r="P51" s="9"/>
      <c r="Q51" s="9"/>
      <c r="R51" s="9"/>
      <c r="S51" s="9"/>
    </row>
    <row r="52" spans="14:19" x14ac:dyDescent="0.25">
      <c r="N52" s="9"/>
      <c r="O52" s="9"/>
      <c r="P52" s="9"/>
      <c r="Q52" s="9"/>
      <c r="R52" s="9"/>
      <c r="S52" s="9"/>
    </row>
  </sheetData>
  <mergeCells count="12">
    <mergeCell ref="B4:D4"/>
    <mergeCell ref="B2:L2"/>
    <mergeCell ref="F4:H4"/>
    <mergeCell ref="B23:F23"/>
    <mergeCell ref="J4:L4"/>
    <mergeCell ref="H23:L23"/>
    <mergeCell ref="B9:F9"/>
    <mergeCell ref="H9:L9"/>
    <mergeCell ref="H24:L31"/>
    <mergeCell ref="J5:L7"/>
    <mergeCell ref="B5:D7"/>
    <mergeCell ref="F5:H7"/>
  </mergeCells>
  <pageMargins left="0.2" right="0.2" top="0.3" bottom="0.3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 activeCell="A4" sqref="A1:A4"/>
    </sheetView>
  </sheetViews>
  <sheetFormatPr defaultRowHeight="15" x14ac:dyDescent="0.25"/>
  <cols>
    <col min="1" max="1" width="15" customWidth="1"/>
    <col min="2" max="2" width="14" customWidth="1"/>
    <col min="3" max="3" width="21" customWidth="1"/>
  </cols>
  <sheetData>
    <row r="1" spans="1:3" x14ac:dyDescent="0.25">
      <c r="A1" s="6" t="s">
        <v>125</v>
      </c>
      <c r="B1" s="6" t="s">
        <v>228</v>
      </c>
      <c r="C1" s="6" t="s">
        <v>136</v>
      </c>
    </row>
    <row r="2" spans="1:3" x14ac:dyDescent="0.25">
      <c r="A2" s="7" t="s">
        <v>168</v>
      </c>
      <c r="B2" s="7" t="s">
        <v>81</v>
      </c>
      <c r="C2" s="7" t="s">
        <v>49</v>
      </c>
    </row>
    <row r="3" spans="1:3" x14ac:dyDescent="0.25">
      <c r="A3" s="7" t="s">
        <v>197</v>
      </c>
      <c r="B3" s="7" t="s">
        <v>82</v>
      </c>
      <c r="C3" s="7" t="s">
        <v>51</v>
      </c>
    </row>
  </sheetData>
  <autoFilter ref="A1:C3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 activeCell="D30" sqref="D30"/>
    </sheetView>
  </sheetViews>
  <sheetFormatPr defaultRowHeight="15" x14ac:dyDescent="0.25"/>
  <cols>
    <col min="1" max="1" width="14" customWidth="1"/>
    <col min="2" max="2" width="12" customWidth="1"/>
    <col min="3" max="3" width="16" customWidth="1"/>
    <col min="4" max="5" width="12" customWidth="1"/>
    <col min="6" max="8" width="14" customWidth="1"/>
  </cols>
  <sheetData>
    <row r="1" spans="1:8" x14ac:dyDescent="0.25">
      <c r="A1" s="6" t="s">
        <v>89</v>
      </c>
      <c r="B1" s="6" t="s">
        <v>90</v>
      </c>
      <c r="C1" s="6" t="s">
        <v>91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</row>
    <row r="2" spans="1:8" x14ac:dyDescent="0.25">
      <c r="A2" s="7">
        <v>1</v>
      </c>
      <c r="B2" s="7">
        <v>101</v>
      </c>
      <c r="C2" s="7" t="s">
        <v>97</v>
      </c>
      <c r="D2" s="7">
        <v>28</v>
      </c>
      <c r="E2" s="7" t="s">
        <v>16</v>
      </c>
      <c r="F2" s="7" t="s">
        <v>36</v>
      </c>
      <c r="G2" s="8">
        <v>5600</v>
      </c>
      <c r="H2" s="7" t="s">
        <v>98</v>
      </c>
    </row>
    <row r="3" spans="1:8" x14ac:dyDescent="0.25">
      <c r="A3" s="7">
        <v>2</v>
      </c>
      <c r="B3" s="7">
        <v>101</v>
      </c>
      <c r="C3" s="7" t="s">
        <v>99</v>
      </c>
      <c r="D3" s="7">
        <v>25</v>
      </c>
      <c r="E3" s="7" t="s">
        <v>19</v>
      </c>
      <c r="F3" s="7" t="s">
        <v>36</v>
      </c>
      <c r="G3" s="8">
        <v>5600</v>
      </c>
      <c r="H3" s="7" t="s">
        <v>100</v>
      </c>
    </row>
    <row r="4" spans="1:8" x14ac:dyDescent="0.25">
      <c r="A4" s="7">
        <v>3</v>
      </c>
      <c r="B4" s="7">
        <v>102</v>
      </c>
      <c r="C4" s="7" t="s">
        <v>101</v>
      </c>
      <c r="D4" s="7">
        <v>35</v>
      </c>
      <c r="E4" s="7" t="s">
        <v>16</v>
      </c>
      <c r="F4" s="7" t="s">
        <v>38</v>
      </c>
      <c r="G4" s="8">
        <v>12500</v>
      </c>
      <c r="H4" s="7" t="s">
        <v>102</v>
      </c>
    </row>
    <row r="5" spans="1:8" x14ac:dyDescent="0.25">
      <c r="A5" s="7">
        <v>4</v>
      </c>
      <c r="B5" s="7">
        <v>103</v>
      </c>
      <c r="C5" s="7" t="s">
        <v>103</v>
      </c>
      <c r="D5" s="7">
        <v>29</v>
      </c>
      <c r="E5" s="7" t="s">
        <v>19</v>
      </c>
      <c r="F5" s="7" t="s">
        <v>36</v>
      </c>
      <c r="G5" s="8">
        <v>6200</v>
      </c>
      <c r="H5" s="7" t="s">
        <v>104</v>
      </c>
    </row>
    <row r="6" spans="1:8" x14ac:dyDescent="0.25">
      <c r="A6" s="7">
        <v>5</v>
      </c>
      <c r="B6" s="7">
        <v>104</v>
      </c>
      <c r="C6" s="7" t="s">
        <v>105</v>
      </c>
      <c r="D6" s="7">
        <v>40</v>
      </c>
      <c r="E6" s="7" t="s">
        <v>16</v>
      </c>
      <c r="F6" s="7" t="s">
        <v>36</v>
      </c>
      <c r="G6" s="8">
        <v>4800</v>
      </c>
      <c r="H6" s="7" t="s">
        <v>106</v>
      </c>
    </row>
    <row r="7" spans="1:8" x14ac:dyDescent="0.25">
      <c r="A7" s="7">
        <v>6</v>
      </c>
      <c r="B7" s="7">
        <v>105</v>
      </c>
      <c r="C7" s="7" t="s">
        <v>107</v>
      </c>
      <c r="D7" s="7">
        <v>32</v>
      </c>
      <c r="E7" s="7" t="s">
        <v>19</v>
      </c>
      <c r="F7" s="7" t="s">
        <v>38</v>
      </c>
      <c r="G7" s="8">
        <v>25000</v>
      </c>
      <c r="H7" s="7" t="s">
        <v>108</v>
      </c>
    </row>
    <row r="8" spans="1:8" x14ac:dyDescent="0.25">
      <c r="A8" s="7">
        <v>7</v>
      </c>
      <c r="B8" s="7">
        <v>106</v>
      </c>
      <c r="C8" s="7" t="s">
        <v>109</v>
      </c>
      <c r="D8" s="7">
        <v>26</v>
      </c>
      <c r="E8" s="7" t="s">
        <v>16</v>
      </c>
      <c r="F8" s="7" t="s">
        <v>36</v>
      </c>
      <c r="G8" s="8">
        <v>4500</v>
      </c>
      <c r="H8" s="7" t="s">
        <v>110</v>
      </c>
    </row>
    <row r="9" spans="1:8" x14ac:dyDescent="0.25">
      <c r="A9" s="7">
        <v>8</v>
      </c>
      <c r="B9" s="7">
        <v>108</v>
      </c>
      <c r="C9" s="7" t="s">
        <v>111</v>
      </c>
      <c r="D9" s="7">
        <v>31</v>
      </c>
      <c r="E9" s="7" t="s">
        <v>19</v>
      </c>
      <c r="F9" s="7" t="s">
        <v>36</v>
      </c>
      <c r="G9" s="8">
        <v>5100</v>
      </c>
      <c r="H9" s="7" t="s">
        <v>112</v>
      </c>
    </row>
    <row r="10" spans="1:8" x14ac:dyDescent="0.25">
      <c r="A10" s="7">
        <v>9</v>
      </c>
      <c r="B10" s="7">
        <v>109</v>
      </c>
      <c r="C10" s="7" t="s">
        <v>113</v>
      </c>
      <c r="D10" s="7">
        <v>38</v>
      </c>
      <c r="E10" s="7" t="s">
        <v>16</v>
      </c>
      <c r="F10" s="7" t="s">
        <v>38</v>
      </c>
      <c r="G10" s="8">
        <v>11000</v>
      </c>
      <c r="H10" s="7" t="s">
        <v>114</v>
      </c>
    </row>
    <row r="11" spans="1:8" x14ac:dyDescent="0.25">
      <c r="A11" s="7">
        <v>10</v>
      </c>
      <c r="B11" s="7">
        <v>110</v>
      </c>
      <c r="C11" s="7" t="s">
        <v>115</v>
      </c>
      <c r="D11" s="7">
        <v>27</v>
      </c>
      <c r="E11" s="7" t="s">
        <v>19</v>
      </c>
      <c r="F11" s="7" t="s">
        <v>36</v>
      </c>
      <c r="G11" s="8">
        <v>22000</v>
      </c>
      <c r="H11" s="7" t="s">
        <v>116</v>
      </c>
    </row>
    <row r="12" spans="1:8" x14ac:dyDescent="0.25">
      <c r="A12" s="7">
        <v>11</v>
      </c>
      <c r="B12" s="7">
        <v>111</v>
      </c>
      <c r="C12" s="7" t="s">
        <v>117</v>
      </c>
      <c r="D12" s="7">
        <v>30</v>
      </c>
      <c r="E12" s="7" t="s">
        <v>16</v>
      </c>
      <c r="F12" s="7" t="s">
        <v>36</v>
      </c>
      <c r="G12" s="8">
        <v>6000</v>
      </c>
      <c r="H12" s="7" t="s">
        <v>118</v>
      </c>
    </row>
    <row r="13" spans="1:8" x14ac:dyDescent="0.25">
      <c r="A13" s="7">
        <v>12</v>
      </c>
      <c r="B13" s="7">
        <v>112</v>
      </c>
      <c r="C13" s="7" t="s">
        <v>119</v>
      </c>
      <c r="D13" s="7">
        <v>24</v>
      </c>
      <c r="E13" s="7" t="s">
        <v>19</v>
      </c>
      <c r="F13" s="7" t="s">
        <v>36</v>
      </c>
      <c r="G13" s="8">
        <v>5800</v>
      </c>
      <c r="H13" s="7" t="s">
        <v>120</v>
      </c>
    </row>
    <row r="14" spans="1:8" x14ac:dyDescent="0.25">
      <c r="A14" s="7">
        <v>13</v>
      </c>
      <c r="B14" s="7">
        <v>114</v>
      </c>
      <c r="C14" s="7" t="s">
        <v>121</v>
      </c>
      <c r="D14" s="7">
        <v>45</v>
      </c>
      <c r="E14" s="7" t="s">
        <v>16</v>
      </c>
      <c r="F14" s="7" t="s">
        <v>38</v>
      </c>
      <c r="G14" s="8">
        <v>9000</v>
      </c>
      <c r="H14" s="7" t="s">
        <v>122</v>
      </c>
    </row>
    <row r="15" spans="1:8" x14ac:dyDescent="0.25">
      <c r="A15" s="7">
        <v>14</v>
      </c>
      <c r="B15" s="7">
        <v>115</v>
      </c>
      <c r="C15" s="7" t="s">
        <v>123</v>
      </c>
      <c r="D15" s="7">
        <v>22</v>
      </c>
      <c r="E15" s="7" t="s">
        <v>19</v>
      </c>
      <c r="F15" s="7" t="s">
        <v>36</v>
      </c>
      <c r="G15" s="8">
        <v>5200</v>
      </c>
      <c r="H15" s="7" t="s">
        <v>124</v>
      </c>
    </row>
  </sheetData>
  <autoFilter ref="A1:H15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11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24" customWidth="1"/>
  </cols>
  <sheetData>
    <row r="1" spans="1:4" x14ac:dyDescent="0.25">
      <c r="A1" s="1" t="s">
        <v>63</v>
      </c>
      <c r="B1" s="1" t="s">
        <v>64</v>
      </c>
      <c r="C1" s="1" t="s">
        <v>83</v>
      </c>
      <c r="D1" s="1" t="s">
        <v>84</v>
      </c>
    </row>
    <row r="2" spans="1:4" x14ac:dyDescent="0.25">
      <c r="A2" s="2" t="s">
        <v>68</v>
      </c>
      <c r="B2" s="2" t="s">
        <v>67</v>
      </c>
      <c r="C2" s="2">
        <v>1</v>
      </c>
      <c r="D2" s="2">
        <v>20</v>
      </c>
    </row>
    <row r="3" spans="1:4" x14ac:dyDescent="0.25">
      <c r="A3" s="2" t="s">
        <v>67</v>
      </c>
      <c r="B3" s="2" t="s">
        <v>68</v>
      </c>
      <c r="C3" s="2">
        <v>1</v>
      </c>
      <c r="D3" s="2">
        <v>45</v>
      </c>
    </row>
    <row r="4" spans="1:4" x14ac:dyDescent="0.25">
      <c r="A4" s="2" t="s">
        <v>68</v>
      </c>
      <c r="B4" s="2" t="s">
        <v>69</v>
      </c>
      <c r="C4" s="2">
        <v>1</v>
      </c>
      <c r="D4" s="2">
        <v>5</v>
      </c>
    </row>
    <row r="5" spans="1:4" x14ac:dyDescent="0.25">
      <c r="A5" s="2" t="s">
        <v>69</v>
      </c>
      <c r="B5" s="2" t="s">
        <v>65</v>
      </c>
      <c r="C5" s="2">
        <v>1</v>
      </c>
      <c r="D5" s="2">
        <v>40</v>
      </c>
    </row>
    <row r="6" spans="1:4" x14ac:dyDescent="0.25">
      <c r="A6" s="2" t="s">
        <v>68</v>
      </c>
      <c r="B6" s="2" t="s">
        <v>70</v>
      </c>
      <c r="C6" s="2">
        <v>1</v>
      </c>
      <c r="D6" s="2">
        <v>10</v>
      </c>
    </row>
    <row r="7" spans="1:4" x14ac:dyDescent="0.25">
      <c r="A7" s="2" t="s">
        <v>67</v>
      </c>
      <c r="B7" s="2" t="s">
        <v>69</v>
      </c>
      <c r="C7" s="2">
        <v>1</v>
      </c>
      <c r="D7" s="2">
        <v>0</v>
      </c>
    </row>
    <row r="8" spans="1:4" x14ac:dyDescent="0.25">
      <c r="A8" s="2" t="s">
        <v>69</v>
      </c>
      <c r="B8" s="2" t="s">
        <v>68</v>
      </c>
      <c r="C8" s="2">
        <v>1</v>
      </c>
      <c r="D8" s="2">
        <v>0</v>
      </c>
    </row>
    <row r="9" spans="1:4" x14ac:dyDescent="0.25">
      <c r="A9" s="2" t="s">
        <v>65</v>
      </c>
      <c r="B9" s="2" t="s">
        <v>68</v>
      </c>
      <c r="C9" s="2">
        <v>1</v>
      </c>
      <c r="D9" s="2">
        <v>90</v>
      </c>
    </row>
    <row r="10" spans="1:4" x14ac:dyDescent="0.25">
      <c r="A10" s="2" t="s">
        <v>68</v>
      </c>
      <c r="B10" s="2" t="s">
        <v>66</v>
      </c>
      <c r="C10" s="2">
        <v>1</v>
      </c>
      <c r="D10" s="2">
        <v>25</v>
      </c>
    </row>
    <row r="11" spans="1:4" x14ac:dyDescent="0.25">
      <c r="A11" s="2" t="s">
        <v>70</v>
      </c>
      <c r="B11" s="2" t="s">
        <v>68</v>
      </c>
      <c r="C11" s="2">
        <v>1</v>
      </c>
      <c r="D11" s="2">
        <v>5</v>
      </c>
    </row>
    <row r="12" spans="1:4" x14ac:dyDescent="0.25">
      <c r="A12" s="2" t="s">
        <v>68</v>
      </c>
      <c r="B12" s="2" t="s">
        <v>65</v>
      </c>
      <c r="C12" s="2">
        <v>1</v>
      </c>
      <c r="D12" s="2">
        <v>15</v>
      </c>
    </row>
    <row r="13" spans="1:4" x14ac:dyDescent="0.25">
      <c r="A13" s="2" t="s">
        <v>67</v>
      </c>
      <c r="B13" s="2" t="s">
        <v>66</v>
      </c>
      <c r="C13" s="2">
        <v>1</v>
      </c>
      <c r="D13" s="2">
        <v>50</v>
      </c>
    </row>
    <row r="14" spans="1:4" x14ac:dyDescent="0.25">
      <c r="A14" s="2" t="s">
        <v>69</v>
      </c>
      <c r="B14" s="2" t="s">
        <v>67</v>
      </c>
      <c r="C14" s="2">
        <v>1</v>
      </c>
      <c r="D14" s="2">
        <v>0</v>
      </c>
    </row>
    <row r="15" spans="1:4" x14ac:dyDescent="0.25">
      <c r="A15" s="2" t="s">
        <v>66</v>
      </c>
      <c r="B15" s="2" t="s">
        <v>68</v>
      </c>
      <c r="C15" s="2">
        <v>1</v>
      </c>
      <c r="D15" s="2">
        <v>10</v>
      </c>
    </row>
    <row r="16" spans="1:4" x14ac:dyDescent="0.25">
      <c r="A16" s="2" t="s">
        <v>65</v>
      </c>
      <c r="B16" s="2" t="s">
        <v>67</v>
      </c>
      <c r="C16" s="2">
        <v>1</v>
      </c>
      <c r="D16" s="2">
        <v>30</v>
      </c>
    </row>
  </sheetData>
  <autoFilter ref="A1:D16"/>
  <conditionalFormatting sqref="D2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4" width="19" customWidth="1"/>
    <col min="5" max="5" width="24" customWidth="1"/>
    <col min="6" max="6" width="13" customWidth="1"/>
    <col min="7" max="7" width="21" customWidth="1"/>
    <col min="8" max="8" width="18" customWidth="1"/>
    <col min="9" max="9" width="19" customWidth="1"/>
    <col min="10" max="10" width="16" customWidth="1"/>
    <col min="11" max="11" width="12" customWidth="1"/>
    <col min="12" max="12" width="15" customWidth="1"/>
    <col min="13" max="13" width="21" customWidth="1"/>
  </cols>
  <sheetData>
    <row r="1" spans="1:13" x14ac:dyDescent="0.25">
      <c r="A1" s="6" t="s">
        <v>90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  <c r="G1" s="6" t="s">
        <v>130</v>
      </c>
      <c r="H1" s="6" t="s">
        <v>131</v>
      </c>
      <c r="I1" s="6" t="s">
        <v>132</v>
      </c>
      <c r="J1" s="6" t="s">
        <v>133</v>
      </c>
      <c r="K1" s="6" t="s">
        <v>134</v>
      </c>
      <c r="L1" s="6" t="s">
        <v>135</v>
      </c>
      <c r="M1" s="6" t="s">
        <v>136</v>
      </c>
    </row>
    <row r="2" spans="1:13" x14ac:dyDescent="0.25">
      <c r="A2" s="7">
        <v>101</v>
      </c>
      <c r="B2" s="7" t="s">
        <v>137</v>
      </c>
      <c r="C2" s="7">
        <v>1</v>
      </c>
      <c r="D2" s="7">
        <v>1</v>
      </c>
      <c r="E2" s="7">
        <v>2</v>
      </c>
      <c r="F2" s="7" t="s">
        <v>122</v>
      </c>
      <c r="G2" s="7" t="s">
        <v>138</v>
      </c>
      <c r="H2" s="7" t="s">
        <v>139</v>
      </c>
      <c r="I2" s="7" t="s">
        <v>140</v>
      </c>
      <c r="J2" s="7" t="s">
        <v>141</v>
      </c>
      <c r="K2" s="7" t="s">
        <v>15</v>
      </c>
      <c r="L2" s="7">
        <v>20</v>
      </c>
      <c r="M2" s="7"/>
    </row>
    <row r="3" spans="1:13" x14ac:dyDescent="0.25">
      <c r="A3" s="7">
        <v>102</v>
      </c>
      <c r="B3" s="7" t="s">
        <v>142</v>
      </c>
      <c r="C3" s="7">
        <v>2</v>
      </c>
      <c r="D3" s="7">
        <v>2</v>
      </c>
      <c r="E3" s="7">
        <v>1</v>
      </c>
      <c r="F3" s="7" t="s">
        <v>124</v>
      </c>
      <c r="G3" s="7" t="s">
        <v>143</v>
      </c>
      <c r="H3" s="7" t="s">
        <v>144</v>
      </c>
      <c r="I3" s="7" t="s">
        <v>145</v>
      </c>
      <c r="J3" s="7" t="s">
        <v>146</v>
      </c>
      <c r="K3" s="7" t="s">
        <v>15</v>
      </c>
      <c r="L3" s="7">
        <v>45</v>
      </c>
      <c r="M3" s="7"/>
    </row>
    <row r="4" spans="1:13" x14ac:dyDescent="0.25">
      <c r="A4" s="7">
        <v>103</v>
      </c>
      <c r="B4" s="7" t="s">
        <v>147</v>
      </c>
      <c r="C4" s="7">
        <v>3</v>
      </c>
      <c r="D4" s="7">
        <v>1</v>
      </c>
      <c r="E4" s="7">
        <v>3</v>
      </c>
      <c r="F4" s="7" t="s">
        <v>148</v>
      </c>
      <c r="G4" s="7" t="s">
        <v>140</v>
      </c>
      <c r="H4" s="7" t="s">
        <v>149</v>
      </c>
      <c r="I4" s="7" t="s">
        <v>150</v>
      </c>
      <c r="J4" s="7" t="s">
        <v>151</v>
      </c>
      <c r="K4" s="7" t="s">
        <v>15</v>
      </c>
      <c r="L4" s="7">
        <v>5</v>
      </c>
      <c r="M4" s="7"/>
    </row>
    <row r="5" spans="1:13" x14ac:dyDescent="0.25">
      <c r="A5" s="7">
        <v>104</v>
      </c>
      <c r="B5" s="7" t="s">
        <v>152</v>
      </c>
      <c r="C5" s="7">
        <v>4</v>
      </c>
      <c r="D5" s="7">
        <v>3</v>
      </c>
      <c r="E5" s="7">
        <v>4</v>
      </c>
      <c r="F5" s="7" t="s">
        <v>153</v>
      </c>
      <c r="G5" s="7" t="s">
        <v>154</v>
      </c>
      <c r="H5" s="7" t="s">
        <v>155</v>
      </c>
      <c r="I5" s="7" t="s">
        <v>156</v>
      </c>
      <c r="J5" s="7" t="s">
        <v>157</v>
      </c>
      <c r="K5" s="7" t="s">
        <v>15</v>
      </c>
      <c r="L5" s="7">
        <v>40</v>
      </c>
      <c r="M5" s="7"/>
    </row>
    <row r="6" spans="1:13" x14ac:dyDescent="0.25">
      <c r="A6" s="7">
        <v>105</v>
      </c>
      <c r="B6" s="7" t="s">
        <v>158</v>
      </c>
      <c r="C6" s="7">
        <v>5</v>
      </c>
      <c r="D6" s="7">
        <v>1</v>
      </c>
      <c r="E6" s="7">
        <v>6</v>
      </c>
      <c r="F6" s="7" t="s">
        <v>159</v>
      </c>
      <c r="G6" s="7" t="s">
        <v>160</v>
      </c>
      <c r="H6" s="7" t="s">
        <v>161</v>
      </c>
      <c r="I6" s="7" t="s">
        <v>162</v>
      </c>
      <c r="J6" s="7" t="s">
        <v>163</v>
      </c>
      <c r="K6" s="7" t="s">
        <v>15</v>
      </c>
      <c r="L6" s="7">
        <v>10</v>
      </c>
      <c r="M6" s="7"/>
    </row>
    <row r="7" spans="1:13" x14ac:dyDescent="0.25">
      <c r="A7" s="7">
        <v>106</v>
      </c>
      <c r="B7" s="7" t="s">
        <v>164</v>
      </c>
      <c r="C7" s="7">
        <v>1</v>
      </c>
      <c r="D7" s="7">
        <v>2</v>
      </c>
      <c r="E7" s="7">
        <v>3</v>
      </c>
      <c r="F7" s="7" t="s">
        <v>165</v>
      </c>
      <c r="G7" s="7" t="s">
        <v>166</v>
      </c>
      <c r="H7" s="7" t="s">
        <v>166</v>
      </c>
      <c r="I7" s="7" t="s">
        <v>143</v>
      </c>
      <c r="J7" s="7" t="s">
        <v>167</v>
      </c>
      <c r="K7" s="7" t="s">
        <v>15</v>
      </c>
      <c r="L7" s="7">
        <v>0</v>
      </c>
      <c r="M7" s="7"/>
    </row>
    <row r="8" spans="1:13" x14ac:dyDescent="0.25">
      <c r="A8" s="7">
        <v>107</v>
      </c>
      <c r="B8" s="7" t="s">
        <v>168</v>
      </c>
      <c r="C8" s="7">
        <v>2</v>
      </c>
      <c r="D8" s="7">
        <v>3</v>
      </c>
      <c r="E8" s="7">
        <v>1</v>
      </c>
      <c r="F8" s="7" t="s">
        <v>169</v>
      </c>
      <c r="G8" s="7" t="s">
        <v>170</v>
      </c>
      <c r="H8" s="7"/>
      <c r="I8" s="7" t="s">
        <v>154</v>
      </c>
      <c r="J8" s="7"/>
      <c r="K8" s="7" t="s">
        <v>18</v>
      </c>
      <c r="L8" s="7">
        <v>0</v>
      </c>
      <c r="M8" s="7" t="s">
        <v>49</v>
      </c>
    </row>
    <row r="9" spans="1:13" x14ac:dyDescent="0.25">
      <c r="A9" s="7">
        <v>108</v>
      </c>
      <c r="B9" s="7" t="s">
        <v>171</v>
      </c>
      <c r="C9" s="7">
        <v>4</v>
      </c>
      <c r="D9" s="7">
        <v>4</v>
      </c>
      <c r="E9" s="7">
        <v>1</v>
      </c>
      <c r="F9" s="7" t="s">
        <v>172</v>
      </c>
      <c r="G9" s="7" t="s">
        <v>173</v>
      </c>
      <c r="H9" s="7" t="s">
        <v>174</v>
      </c>
      <c r="I9" s="7" t="s">
        <v>175</v>
      </c>
      <c r="J9" s="7" t="s">
        <v>176</v>
      </c>
      <c r="K9" s="7" t="s">
        <v>15</v>
      </c>
      <c r="L9" s="7">
        <v>90</v>
      </c>
      <c r="M9" s="7"/>
    </row>
    <row r="10" spans="1:13" x14ac:dyDescent="0.25">
      <c r="A10" s="7">
        <v>109</v>
      </c>
      <c r="B10" s="7" t="s">
        <v>177</v>
      </c>
      <c r="C10" s="7">
        <v>3</v>
      </c>
      <c r="D10" s="7">
        <v>1</v>
      </c>
      <c r="E10" s="7">
        <v>5</v>
      </c>
      <c r="F10" s="7" t="s">
        <v>178</v>
      </c>
      <c r="G10" s="7" t="s">
        <v>145</v>
      </c>
      <c r="H10" s="7" t="s">
        <v>179</v>
      </c>
      <c r="I10" s="7" t="s">
        <v>180</v>
      </c>
      <c r="J10" s="7" t="s">
        <v>154</v>
      </c>
      <c r="K10" s="7" t="s">
        <v>15</v>
      </c>
      <c r="L10" s="7">
        <v>25</v>
      </c>
      <c r="M10" s="7"/>
    </row>
    <row r="11" spans="1:13" x14ac:dyDescent="0.25">
      <c r="A11" s="7">
        <v>110</v>
      </c>
      <c r="B11" s="7" t="s">
        <v>181</v>
      </c>
      <c r="C11" s="7">
        <v>5</v>
      </c>
      <c r="D11" s="7">
        <v>6</v>
      </c>
      <c r="E11" s="7">
        <v>1</v>
      </c>
      <c r="F11" s="7" t="s">
        <v>182</v>
      </c>
      <c r="G11" s="7" t="s">
        <v>183</v>
      </c>
      <c r="H11" s="7" t="s">
        <v>184</v>
      </c>
      <c r="I11" s="7" t="s">
        <v>185</v>
      </c>
      <c r="J11" s="7" t="s">
        <v>186</v>
      </c>
      <c r="K11" s="7" t="s">
        <v>15</v>
      </c>
      <c r="L11" s="7">
        <v>5</v>
      </c>
      <c r="M11" s="7"/>
    </row>
    <row r="12" spans="1:13" x14ac:dyDescent="0.25">
      <c r="A12" s="7">
        <v>111</v>
      </c>
      <c r="B12" s="7" t="s">
        <v>187</v>
      </c>
      <c r="C12" s="7">
        <v>1</v>
      </c>
      <c r="D12" s="7">
        <v>1</v>
      </c>
      <c r="E12" s="7">
        <v>4</v>
      </c>
      <c r="F12" s="7" t="s">
        <v>188</v>
      </c>
      <c r="G12" s="7" t="s">
        <v>189</v>
      </c>
      <c r="H12" s="7" t="s">
        <v>190</v>
      </c>
      <c r="I12" s="7" t="s">
        <v>191</v>
      </c>
      <c r="J12" s="7" t="s">
        <v>192</v>
      </c>
      <c r="K12" s="7" t="s">
        <v>15</v>
      </c>
      <c r="L12" s="7">
        <v>15</v>
      </c>
      <c r="M12" s="7"/>
    </row>
    <row r="13" spans="1:13" x14ac:dyDescent="0.25">
      <c r="A13" s="7">
        <v>112</v>
      </c>
      <c r="B13" s="7" t="s">
        <v>193</v>
      </c>
      <c r="C13" s="7">
        <v>2</v>
      </c>
      <c r="D13" s="7">
        <v>2</v>
      </c>
      <c r="E13" s="7">
        <v>5</v>
      </c>
      <c r="F13" s="7" t="s">
        <v>194</v>
      </c>
      <c r="G13" s="7" t="s">
        <v>195</v>
      </c>
      <c r="H13" s="7" t="s">
        <v>196</v>
      </c>
      <c r="I13" s="7" t="s">
        <v>156</v>
      </c>
      <c r="J13" s="7" t="s">
        <v>157</v>
      </c>
      <c r="K13" s="7" t="s">
        <v>15</v>
      </c>
      <c r="L13" s="7">
        <v>50</v>
      </c>
      <c r="M13" s="7"/>
    </row>
    <row r="14" spans="1:13" x14ac:dyDescent="0.25">
      <c r="A14" s="7">
        <v>113</v>
      </c>
      <c r="B14" s="7" t="s">
        <v>197</v>
      </c>
      <c r="C14" s="7">
        <v>4</v>
      </c>
      <c r="D14" s="7">
        <v>3</v>
      </c>
      <c r="E14" s="7">
        <v>2</v>
      </c>
      <c r="F14" s="7" t="s">
        <v>198</v>
      </c>
      <c r="G14" s="7" t="s">
        <v>199</v>
      </c>
      <c r="H14" s="7"/>
      <c r="I14" s="7" t="s">
        <v>160</v>
      </c>
      <c r="J14" s="7"/>
      <c r="K14" s="7" t="s">
        <v>18</v>
      </c>
      <c r="L14" s="7">
        <v>0</v>
      </c>
      <c r="M14" s="7" t="s">
        <v>51</v>
      </c>
    </row>
    <row r="15" spans="1:13" x14ac:dyDescent="0.25">
      <c r="A15" s="7">
        <v>114</v>
      </c>
      <c r="B15" s="7" t="s">
        <v>200</v>
      </c>
      <c r="C15" s="7">
        <v>3</v>
      </c>
      <c r="D15" s="7">
        <v>5</v>
      </c>
      <c r="E15" s="7">
        <v>1</v>
      </c>
      <c r="F15" s="7" t="s">
        <v>201</v>
      </c>
      <c r="G15" s="7" t="s">
        <v>143</v>
      </c>
      <c r="H15" s="7" t="s">
        <v>202</v>
      </c>
      <c r="I15" s="7" t="s">
        <v>203</v>
      </c>
      <c r="J15" s="7" t="s">
        <v>204</v>
      </c>
      <c r="K15" s="7" t="s">
        <v>15</v>
      </c>
      <c r="L15" s="7">
        <v>10</v>
      </c>
      <c r="M15" s="7"/>
    </row>
    <row r="16" spans="1:13" x14ac:dyDescent="0.25">
      <c r="A16" s="7">
        <v>115</v>
      </c>
      <c r="B16" s="7" t="s">
        <v>205</v>
      </c>
      <c r="C16" s="7">
        <v>1</v>
      </c>
      <c r="D16" s="7">
        <v>4</v>
      </c>
      <c r="E16" s="7">
        <v>2</v>
      </c>
      <c r="F16" s="7" t="s">
        <v>206</v>
      </c>
      <c r="G16" s="7" t="s">
        <v>207</v>
      </c>
      <c r="H16" s="7" t="s">
        <v>175</v>
      </c>
      <c r="I16" s="7" t="s">
        <v>176</v>
      </c>
      <c r="J16" s="7" t="s">
        <v>208</v>
      </c>
      <c r="K16" s="7" t="s">
        <v>15</v>
      </c>
      <c r="L16" s="7">
        <v>30</v>
      </c>
      <c r="M16" s="7"/>
    </row>
  </sheetData>
  <autoFilter ref="A1:M1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E7" sqref="A1:E7"/>
    </sheetView>
  </sheetViews>
  <sheetFormatPr defaultRowHeight="15" x14ac:dyDescent="0.25"/>
  <cols>
    <col min="1" max="1" width="12" customWidth="1"/>
    <col min="2" max="2" width="14" customWidth="1"/>
    <col min="3" max="3" width="34" customWidth="1"/>
    <col min="4" max="5" width="12" customWidth="1"/>
  </cols>
  <sheetData>
    <row r="1" spans="1:5" x14ac:dyDescent="0.25">
      <c r="A1" s="6" t="s">
        <v>209</v>
      </c>
      <c r="B1" s="6" t="s">
        <v>210</v>
      </c>
      <c r="C1" s="6" t="s">
        <v>211</v>
      </c>
      <c r="D1" s="6" t="s">
        <v>212</v>
      </c>
      <c r="E1" s="6" t="s">
        <v>213</v>
      </c>
    </row>
    <row r="2" spans="1:5" x14ac:dyDescent="0.25">
      <c r="A2" s="7">
        <v>1</v>
      </c>
      <c r="B2" s="7" t="s">
        <v>68</v>
      </c>
      <c r="C2" s="7" t="s">
        <v>214</v>
      </c>
      <c r="D2" s="7" t="s">
        <v>215</v>
      </c>
      <c r="E2" s="7" t="s">
        <v>216</v>
      </c>
    </row>
    <row r="3" spans="1:5" x14ac:dyDescent="0.25">
      <c r="A3" s="7">
        <v>2</v>
      </c>
      <c r="B3" s="7" t="s">
        <v>67</v>
      </c>
      <c r="C3" s="7" t="s">
        <v>217</v>
      </c>
      <c r="D3" s="7" t="s">
        <v>218</v>
      </c>
      <c r="E3" s="7" t="s">
        <v>216</v>
      </c>
    </row>
    <row r="4" spans="1:5" x14ac:dyDescent="0.25">
      <c r="A4" s="7">
        <v>3</v>
      </c>
      <c r="B4" s="7" t="s">
        <v>69</v>
      </c>
      <c r="C4" s="7" t="s">
        <v>219</v>
      </c>
      <c r="D4" s="7" t="s">
        <v>220</v>
      </c>
      <c r="E4" s="7" t="s">
        <v>216</v>
      </c>
    </row>
    <row r="5" spans="1:5" x14ac:dyDescent="0.25">
      <c r="A5" s="7">
        <v>4</v>
      </c>
      <c r="B5" s="7" t="s">
        <v>65</v>
      </c>
      <c r="C5" s="7" t="s">
        <v>221</v>
      </c>
      <c r="D5" s="7" t="s">
        <v>222</v>
      </c>
      <c r="E5" s="7" t="s">
        <v>216</v>
      </c>
    </row>
    <row r="6" spans="1:5" x14ac:dyDescent="0.25">
      <c r="A6" s="7">
        <v>5</v>
      </c>
      <c r="B6" s="7" t="s">
        <v>66</v>
      </c>
      <c r="C6" s="7" t="s">
        <v>223</v>
      </c>
      <c r="D6" s="7" t="s">
        <v>224</v>
      </c>
      <c r="E6" s="7" t="s">
        <v>216</v>
      </c>
    </row>
    <row r="7" spans="1:5" x14ac:dyDescent="0.25">
      <c r="A7" s="7">
        <v>6</v>
      </c>
      <c r="B7" s="7" t="s">
        <v>70</v>
      </c>
      <c r="C7" s="7" t="s">
        <v>225</v>
      </c>
      <c r="D7" s="7" t="s">
        <v>226</v>
      </c>
      <c r="E7" s="7" t="s">
        <v>227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Executive Overview</vt:lpstr>
      <vt:lpstr>Passenger Dashboard</vt:lpstr>
      <vt:lpstr>Flight Operations Dashboard</vt:lpstr>
      <vt:lpstr>Route Performance Dashboard</vt:lpstr>
      <vt:lpstr>Cancellations</vt:lpstr>
      <vt:lpstr>Passenger Data</vt:lpstr>
      <vt:lpstr>Flight Data</vt:lpstr>
      <vt:lpstr>Flight Details</vt:lpstr>
      <vt:lpstr>Airport Data</vt:lpstr>
      <vt:lpstr>Dashboard!Print_Area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Hii</cp:lastModifiedBy>
  <dcterms:created xsi:type="dcterms:W3CDTF">2026-10-05T00:02:23Z</dcterms:created>
  <dcterms:modified xsi:type="dcterms:W3CDTF">2026-10-08T17:06:13Z</dcterms:modified>
</cp:coreProperties>
</file>